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8 Guidelines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KPI Before-After" sheetId="4" state="visible" r:id="rId4"/>
    <sheet xmlns:r="http://schemas.openxmlformats.org/officeDocument/2006/relationships" name="Lessons" sheetId="5" state="visible" r:id="rId5"/>
    <sheet xmlns:r="http://schemas.openxmlformats.org/officeDocument/2006/relationships" name="Hard Q&amp;A" sheetId="6" state="visible" r:id="rId6"/>
    <sheet xmlns:r="http://schemas.openxmlformats.org/officeDocument/2006/relationships" name="Run of Show" sheetId="7" state="visible" r:id="rId7"/>
    <sheet xmlns:r="http://schemas.openxmlformats.org/officeDocument/2006/relationships" name="Release Readiness" sheetId="8" state="visible" r:id="rId8"/>
  </sheets>
  <definedNames>
    <definedName name="_xlnm._FilterDatabase" localSheetId="1" hidden="1">'28 Guidelines'!$A$1:$N$29</definedName>
    <definedName name="_xlnm._FilterDatabase" localSheetId="2" hidden="1">'Decisions'!$A$1:$G$15</definedName>
    <definedName name="_xlnm._FilterDatabase" localSheetId="3" hidden="1">'KPI Before-After'!$A$1:$H$28</definedName>
    <definedName name="_xlnm._FilterDatabase" localSheetId="4" hidden="1">'Lessons'!$A$1:$E$19</definedName>
    <definedName name="_xlnm._FilterDatabase" localSheetId="5" hidden="1">'Hard Q&amp;A'!$A$1:$D$21</definedName>
    <definedName name="_xlnm._FilterDatabase" localSheetId="6" hidden="1">'Run of Show'!$A$1:$D$11</definedName>
    <definedName name="_xlnm._FilterDatabase" localSheetId="7" hidden="1">'Release Readiness'!$A$1:$F$8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2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6" min="1" max="1"/>
    <col width="10" customWidth="1" style="16" min="2" max="2"/>
    <col width="80" customWidth="1" style="16" min="3" max="3"/>
  </cols>
  <sheetData>
    <row r="1" ht="19.7" customHeight="1" s="17">
      <c r="A1" s="18" t="inlineStr">
        <is>
          <t>AI FDE Capstone: 28-point readiness tracker</t>
        </is>
      </c>
    </row>
    <row r="2" ht="15" customHeight="1" s="17">
      <c r="A2" s="19" t="inlineStr">
        <is>
          <t>Prepared 2026-10-25 for Dinesh Naik. Source: AI_FDE_Capstone Final Presentation Guidelines; repo gxp-quality-hub-legacy. All repo data is synthetic and unvalidated.</t>
        </is>
      </c>
    </row>
    <row r="3"/>
    <row r="4" ht="15" customHeight="1" s="17">
      <c r="A4" s="20" t="inlineStr">
        <is>
          <t>Verdict</t>
        </is>
      </c>
      <c r="B4" s="20" t="inlineStr">
        <is>
          <t>Count</t>
        </is>
      </c>
      <c r="C4" s="20" t="inlineStr">
        <is>
          <t>Meaning</t>
        </is>
      </c>
    </row>
    <row r="5" ht="15" customHeight="1" s="17">
      <c r="A5" s="21" t="inlineStr">
        <is>
          <t>YES</t>
        </is>
      </c>
      <c r="B5" s="22">
        <f>COUNTIF('28 Guidelines'!$D$2:$D$29,A5)</f>
        <v/>
      </c>
      <c r="C5" s="22" t="inlineStr">
        <is>
          <t>Evidence exists; artifact can be produced now</t>
        </is>
      </c>
    </row>
    <row r="6" ht="15" customHeight="1" s="17">
      <c r="A6" s="23" t="inlineStr">
        <is>
          <t>PARTIAL</t>
        </is>
      </c>
      <c r="B6" s="22">
        <f>COUNTIF('28 Guidelines'!$D$2:$D$29,A6)</f>
        <v/>
      </c>
      <c r="C6" s="22" t="inlineStr">
        <is>
          <t>Most can be produced; stated gap</t>
        </is>
      </c>
    </row>
    <row r="7" ht="15" customHeight="1" s="17">
      <c r="A7" s="24" t="inlineStr">
        <is>
          <t>BLOCKED</t>
        </is>
      </c>
      <c r="B7" s="22">
        <f>COUNTIF('28 Guidelines'!$D$2:$D$29,A7)</f>
        <v/>
      </c>
      <c r="C7" s="22" t="inlineStr">
        <is>
          <t>Needs a decision or asset from you, or conflicts with a recorded decision</t>
        </is>
      </c>
    </row>
    <row r="8" ht="15" customHeight="1" s="17">
      <c r="A8" s="25" t="inlineStr">
        <is>
          <t>LATER</t>
        </is>
      </c>
      <c r="B8" s="22">
        <f>COUNTIF('28 Guidelines'!$D$2:$D$29,A8)</f>
        <v/>
      </c>
      <c r="C8" s="22" t="inlineStr">
        <is>
          <t>Needs a build step not yet done</t>
        </is>
      </c>
    </row>
    <row r="9" ht="15" customHeight="1" s="17">
      <c r="A9" s="26" t="inlineStr">
        <is>
          <t>Total</t>
        </is>
      </c>
      <c r="B9" s="26">
        <f>SUM(B5:B8)</f>
        <v/>
      </c>
      <c r="C9" s="26" t="n"/>
    </row>
    <row r="10"/>
    <row r="11" ht="15" customHeight="1" s="17">
      <c r="A11" s="20" t="inlineStr">
        <is>
          <t>Closure path</t>
        </is>
      </c>
      <c r="B11" s="20" t="inlineStr">
        <is>
          <t>Count</t>
        </is>
      </c>
      <c r="C11" s="20" t="inlineStr">
        <is>
          <t>Meaning</t>
        </is>
      </c>
    </row>
    <row r="12" ht="15" customHeight="1" s="17">
      <c r="A12" s="22" t="inlineStr">
        <is>
          <t>Claude alone</t>
        </is>
      </c>
      <c r="B12" s="22">
        <f>COUNTIF('28 Guidelines'!$F$2:$F$29,A12)</f>
        <v/>
      </c>
      <c r="C12" s="22" t="inlineStr">
        <is>
          <t>Can be completed from existing artifacts</t>
        </is>
      </c>
    </row>
    <row r="13" ht="15" customHeight="1" s="17">
      <c r="A13" s="22" t="inlineStr">
        <is>
          <t>Both</t>
        </is>
      </c>
      <c r="B13" s="22">
        <f>COUNTIF('28 Guidelines'!$F$2:$F$29,A13)</f>
        <v/>
      </c>
      <c r="C13" s="22" t="inlineStr">
        <is>
          <t>Claude prepares from artifacts; needs your decision or input to finish</t>
        </is>
      </c>
    </row>
    <row r="14" ht="15" customHeight="1" s="17">
      <c r="A14" s="22" t="inlineStr">
        <is>
          <t>Your input needed</t>
        </is>
      </c>
      <c r="B14" s="22">
        <f>COUNTIF('28 Guidelines'!$F$2:$F$29,A14)</f>
        <v/>
      </c>
      <c r="C14" s="22" t="inlineStr">
        <is>
          <t>Cannot progress without your decision or asset</t>
        </is>
      </c>
    </row>
    <row r="15"/>
    <row r="16" ht="15" customHeight="1" s="17">
      <c r="A16" s="27" t="inlineStr">
        <is>
          <t>Headline findings</t>
        </is>
      </c>
    </row>
    <row r="17" ht="15" customHeight="1" s="17">
      <c r="A17" s="22" t="inlineStr">
        <is>
          <t>F-1 (updated 25 Oct) Core stays No-AI (OD-08); an advisory OpenAI assistant (A1) was added by decision OD-41. Update 26 Oct: Stage 44 (OD-40) adds an optional, off-by-default Azure OpenAI document Q&amp;A to the hub itself; tested on a local fake only.</t>
        </is>
      </c>
    </row>
    <row r="18" ht="15" customHeight="1" s="17">
      <c r="A18" s="22" t="inlineStr">
        <is>
          <t>F-2 (updated 25 Oct) App B now exists: hub + Command Centre with an OpenAI assistant; portability run pending.</t>
        </is>
      </c>
    </row>
    <row r="19" ht="15" customHeight="1" s="17">
      <c r="A19" s="22" t="inlineStr">
        <is>
          <t>F-3 Release is BLOCKED (0 of 40 approvals) and value is not computable; no improvement may be claimed. Update 25 Oct: 17 of 20 technical criteria now have passing evidence; G1, T-09, T-10 and the sign-offs need your decisions (06_Release_Readiness).</t>
        </is>
      </c>
    </row>
    <row r="20" ht="15" customHeight="1" s="17">
      <c r="A20" s="22" t="inlineStr">
        <is>
          <t>F-4 (updated 25 Oct) Branding taken from the annual-report sample; no official template.</t>
        </is>
      </c>
    </row>
    <row r="21" ht="15" customHeight="1" s="17">
      <c r="A21" s="22" t="inlineStr">
        <is>
          <t>F-5 (updated 25 Oct) The Command Centre adds 9 views over the hub, loopback only.</t>
        </is>
      </c>
    </row>
    <row r="22"/>
    <row r="23" ht="15" customHeight="1" s="17">
      <c r="A23" s="19" t="inlineStr">
        <is>
          <t>Sheets: 28 Guidelines | Decisions | KPI Before-After | Lessons | Hard Q&amp;A | Run of Show | Release Readiness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6" min="1" max="1"/>
    <col width="22" customWidth="1" style="16" min="2" max="2"/>
    <col width="26" customWidth="1" style="16" min="3" max="3"/>
    <col width="11" customWidth="1" style="16" min="4" max="4"/>
    <col width="22" customWidth="1" style="16" min="5" max="5"/>
    <col width="18" customWidth="1" style="16" min="6" max="6"/>
    <col width="50" customWidth="1" style="16" min="7" max="7"/>
    <col width="45" customWidth="1" style="16" min="8" max="9"/>
    <col width="50" customWidth="1" style="16" min="10" max="10"/>
    <col width="45" customWidth="1" style="16" min="11" max="11"/>
    <col width="36" customWidth="1" style="16" min="12" max="12"/>
    <col width="14" customWidth="1" style="16" min="13" max="13"/>
    <col width="24" customWidth="1" style="16" min="14" max="14"/>
  </cols>
  <sheetData>
    <row r="1" ht="26.85" customHeight="1" s="17">
      <c r="A1" s="28" t="inlineStr">
        <is>
          <t>#</t>
        </is>
      </c>
      <c r="B1" s="28" t="inlineStr">
        <is>
          <t>Section</t>
        </is>
      </c>
      <c r="C1" s="28" t="inlineStr">
        <is>
          <t>Guideline</t>
        </is>
      </c>
      <c r="D1" s="28" t="inlineStr">
        <is>
          <t>Verdict</t>
        </is>
      </c>
      <c r="E1" s="28" t="inlineStr">
        <is>
          <t>Verdict detail</t>
        </is>
      </c>
      <c r="F1" s="28" t="inlineStr">
        <is>
          <t>Closure path</t>
        </is>
      </c>
      <c r="G1" s="28" t="inlineStr">
        <is>
          <t>Claude can collect or create from available artifacts</t>
        </is>
      </c>
      <c r="H1" s="28" t="inlineStr">
        <is>
          <t>Your dependency</t>
        </is>
      </c>
      <c r="I1" s="28" t="inlineStr">
        <is>
          <t>What can be created</t>
        </is>
      </c>
      <c r="J1" s="28" t="inlineStr">
        <is>
          <t>Repo evidence</t>
        </is>
      </c>
      <c r="K1" s="28" t="inlineStr">
        <is>
          <t>Gap / limitation</t>
        </is>
      </c>
      <c r="L1" s="28" t="inlineStr">
        <is>
          <t>Needed from you</t>
        </is>
      </c>
      <c r="M1" s="28" t="inlineStr">
        <is>
          <t>Owner</t>
        </is>
      </c>
      <c r="N1" s="28" t="inlineStr">
        <is>
          <t>Status / notes</t>
        </is>
      </c>
    </row>
    <row r="2" ht="35.05" customHeight="1" s="17">
      <c r="A2" s="29" t="inlineStr">
        <is>
          <t>1</t>
        </is>
      </c>
      <c r="B2" s="29" t="inlineStr">
        <is>
          <t>A: Engineering &amp; Transformation</t>
        </is>
      </c>
      <c r="C2" s="29" t="inlineStr">
        <is>
          <t>42-Stage AI FDE Spine</t>
        </is>
      </c>
      <c r="D2" s="30" t="inlineStr">
        <is>
          <t>YES</t>
        </is>
      </c>
      <c r="E2" s="29" t="inlineStr">
        <is>
          <t>YES</t>
        </is>
      </c>
      <c r="F2" s="29" t="inlineStr">
        <is>
          <t>Claude alone</t>
        </is>
      </c>
      <c r="G2" s="29" t="inlineStr">
        <is>
          <t>Create from existing repo evidence.</t>
        </is>
      </c>
      <c r="H2" s="29" t="inlineStr">
        <is>
          <t>None.</t>
        </is>
      </c>
      <c r="I2" s="29" t="inlineStr">
        <is>
          <t>Spine coverage &amp; adaptation log: one row per stage (00A–43) with status, depth, what was adapted</t>
        </is>
      </c>
      <c r="J2" s="29" t="inlineStr">
        <is>
          <t>46 stage prompts executed 0A→43; statuses in git log + OD-01..OD-39. N/A: 19, 22. BLOCKED: 30, 38, 41, 43. Most others CONDITIONAL PASS</t>
        </is>
      </c>
      <c r="K2" s="29" t="inlineStr">
        <is>
          <t>Statuses are the agent's own; no external review</t>
        </is>
      </c>
      <c r="L2" s="29" t="inlineStr">
        <is>
          <t>none</t>
        </is>
      </c>
      <c r="M2" s="29" t="n"/>
      <c r="N2" s="29" t="n"/>
    </row>
    <row r="3" ht="68.65000000000001" customHeight="1" s="17">
      <c r="A3" s="29" t="inlineStr">
        <is>
          <t>2</t>
        </is>
      </c>
      <c r="B3" s="29" t="inlineStr">
        <is>
          <t>A: Engineering &amp; Transformation</t>
        </is>
      </c>
      <c r="C3" s="29" t="inlineStr">
        <is>
          <t>Prompt Adaptability</t>
        </is>
      </c>
      <c r="D3" s="30" t="inlineStr">
        <is>
          <t>YES</t>
        </is>
      </c>
      <c r="E3" s="29" t="inlineStr">
        <is>
          <t>YES</t>
        </is>
      </c>
      <c r="F3" s="29" t="inlineStr">
        <is>
          <t>Claude alone</t>
        </is>
      </c>
      <c r="G3" s="29" t="inlineStr">
        <is>
          <t>Create from existing repo evidence.</t>
        </is>
      </c>
      <c r="H3" s="29" t="inlineStr">
        <is>
          <t>None.</t>
        </is>
      </c>
      <c r="I3" s="29" t="inlineStr">
        <is>
          <t>Prompt adaptation register: what was added, combined, skipped or changed and why</t>
        </is>
      </c>
      <c r="J3" s="29" t="inlineStr">
        <is>
          <t>Added pre-flight 0A/0B/0C; Stage 19/22 skipped by decision; path deviations (S28-DEV-05 28-reliability vs 28-resilience, S43-DEV-01 final-prd); "test once" and parallel doc stages (OD-23). The two prompt copies (FDE_Stage_System_Prompts and .fde/stage-prompts) are byte-identical, so no prompt text was edited</t>
        </is>
      </c>
      <c r="K3" s="29" t="inlineStr">
        <is>
          <t>Adaptations were made in execution, not by editing prompts (LL-16 says fix paths at source)</t>
        </is>
      </c>
      <c r="L3" s="29" t="inlineStr">
        <is>
          <t>Confirm if you edited any prompt elsewhere</t>
        </is>
      </c>
      <c r="M3" s="29" t="n"/>
      <c r="N3" s="29" t="n"/>
    </row>
    <row r="4" ht="57.45" customHeight="1" s="17">
      <c r="A4" s="29" t="inlineStr">
        <is>
          <t>3</t>
        </is>
      </c>
      <c r="B4" s="29" t="inlineStr">
        <is>
          <t>A: Engineering &amp; Transformation</t>
        </is>
      </c>
      <c r="C4" s="29" t="inlineStr">
        <is>
          <t>Enterprise Context Lake</t>
        </is>
      </c>
      <c r="D4" s="31" t="inlineStr">
        <is>
          <t>PARTIAL</t>
        </is>
      </c>
      <c r="E4" s="29" t="inlineStr">
        <is>
          <t>PARTIAL</t>
        </is>
      </c>
      <c r="F4" s="29" t="inlineStr">
        <is>
          <t>Both</t>
        </is>
      </c>
      <c r="G4" s="29" t="inlineStr">
        <is>
          <t>Build the context manifest (about 978 doc files, ADRs, specs, hashes, evidence tier) from the repo and semantic layer.</t>
        </is>
      </c>
      <c r="H4" s="29" t="inlineStr">
        <is>
          <t>Confirm a file-based manifest plus semantic layer is acceptable.</t>
        </is>
      </c>
      <c r="I4" s="29" t="inlineStr">
        <is>
          <t>Context-Lake manifest: versioned index of every context asset (978 doc files, ADR-001..018, OD log, specs, schemas, evidence logs, semantic layer) with type, stage, hash and evidence tier [Verified Fact/Inference/Assumption/Unknown]</t>
        </is>
      </c>
      <c r="J4" s="29" t="inlineStr">
        <is>
          <t>Evidence-tagged docs, SHA256SUMS files, traceability matrix (docs/13), package graph, semantic layer (new)</t>
        </is>
      </c>
      <c r="K4" s="29" t="inlineStr">
        <is>
          <t>No queryable store; "code intelligence" is a text package graph, not an index. Naming clash: data/lake/ in the repo is synthetic event data, not the Context Lake</t>
        </is>
      </c>
      <c r="L4" s="29" t="inlineStr">
        <is>
          <t>Confirm the Context Lake may be a file-based manifest + semantic layer rather than a database</t>
        </is>
      </c>
      <c r="M4" s="29" t="n"/>
      <c r="N4" s="29" t="n"/>
    </row>
    <row r="5" ht="46.25" customHeight="1" s="17">
      <c r="A5" s="29" t="inlineStr">
        <is>
          <t>4</t>
        </is>
      </c>
      <c r="B5" s="29" t="inlineStr">
        <is>
          <t>A: Engineering &amp; Transformation</t>
        </is>
      </c>
      <c r="C5" s="29" t="inlineStr">
        <is>
          <t>Two functional applications</t>
        </is>
      </c>
      <c r="D5" s="31" t="inlineStr">
        <is>
          <t>PARTIAL</t>
        </is>
      </c>
      <c r="E5" s="29" t="inlineStr">
        <is>
          <t>PARTIAL (updated 25 Oct)</t>
        </is>
      </c>
      <c r="F5" s="29" t="inlineStr">
        <is>
          <t>Both</t>
        </is>
      </c>
      <c r="G5" s="29" t="inlineStr">
        <is>
          <t>Built: App B = hub + Command Centre with OpenAI assistant (04_Quality_Command_Centre). Can prepare the semantic-layer regeneration run.</t>
        </is>
      </c>
      <c r="H5" s="29" t="inlineStr">
        <is>
          <t>Access to a second model for the portability comparison.</t>
        </is>
      </c>
      <c r="I5" s="29" t="inlineStr">
        <is>
          <t>App A = legacy estate; App B = shadow hub + GxP Quality Command Centre (04_Quality_Command_Centre/) with an advisory OpenAI assistant</t>
        </is>
      </c>
      <c r="J5" s="29" t="inlineStr">
        <is>
          <t>Legacy app, hub (204 py files, 17,247 lines), Command Centre (9 views) reusing the hub's intake, metrics and crosswalk code</t>
        </is>
      </c>
      <c r="K5" s="29" t="inlineStr">
        <is>
          <t>The 'regenerated from the semantic layer on a second model' portability run has not been done</t>
        </is>
      </c>
      <c r="L5" s="29" t="inlineStr">
        <is>
          <t>Access to a second model if the portability comparison is wanted</t>
        </is>
      </c>
      <c r="M5" s="29" t="n"/>
      <c r="N5" s="29" t="n"/>
    </row>
    <row r="6" ht="57.45" customHeight="1" s="17">
      <c r="A6" s="29" t="inlineStr">
        <is>
          <t>5</t>
        </is>
      </c>
      <c r="B6" s="29" t="inlineStr">
        <is>
          <t>A: Engineering &amp; Transformation</t>
        </is>
      </c>
      <c r="C6" s="29" t="inlineStr">
        <is>
          <t>Enterprise-grade UI/UX</t>
        </is>
      </c>
      <c r="D6" s="30" t="inlineStr">
        <is>
          <t>YES</t>
        </is>
      </c>
      <c r="E6" s="29" t="inlineStr">
        <is>
          <t>YES (updated 25 Oct)</t>
        </is>
      </c>
      <c r="F6" s="29" t="inlineStr">
        <is>
          <t>Claude alone</t>
        </is>
      </c>
      <c r="G6" s="29" t="inlineStr">
        <is>
          <t>Done 25 Oct: Command Centre UI, 9 views, 6 personas.</t>
        </is>
      </c>
      <c r="H6" s="29" t="inlineStr">
        <is>
          <t>None.</t>
        </is>
      </c>
      <c r="I6" s="29" t="inlineStr">
        <is>
          <t>Running Command Centre: executive overview, cases with trace drawer, intake &amp; exception queues, month-end truth, definitions, Zone H gate, AI assistant, release evidence, system; 6 role personas, deny-by-default</t>
        </is>
      </c>
      <c r="J6" s="29" t="inlineStr">
        <is>
          <t>Hub's 7 server-rendered screens remain the system of record for actions</t>
        </is>
      </c>
      <c r="K6" s="29" t="inlineStr">
        <is>
          <t>Read-only (no reviewer writes in the new UI); personas are demo personas, not authentication; loopback only</t>
        </is>
      </c>
      <c r="L6" s="29" t="inlineStr">
        <is>
          <t>none</t>
        </is>
      </c>
      <c r="M6" s="29" t="n"/>
      <c r="N6" s="29" t="n"/>
    </row>
    <row r="7" ht="35.05" customHeight="1" s="17">
      <c r="A7" s="29" t="inlineStr">
        <is>
          <t>6</t>
        </is>
      </c>
      <c r="B7" s="29" t="inlineStr">
        <is>
          <t>A: Engineering &amp; Transformation</t>
        </is>
      </c>
      <c r="C7" s="29" t="inlineStr">
        <is>
          <t>Agentic AI engineering</t>
        </is>
      </c>
      <c r="D7" s="31" t="inlineStr">
        <is>
          <t>PARTIAL</t>
        </is>
      </c>
      <c r="E7" s="29" t="inlineStr">
        <is>
          <t>PARTIAL (updated 25 Oct)</t>
        </is>
      </c>
      <c r="F7" s="29" t="inlineStr">
        <is>
          <t>Both</t>
        </is>
      </c>
      <c r="G7" s="29" t="inlineStr">
        <is>
          <t>Done 25 Oct: advisory OpenAI assistant (A1) with guardrails. Can draft an A2 evidence-pack agent design.</t>
        </is>
      </c>
      <c r="H7" s="29" t="inlineStr">
        <is>
          <t>Decide whether an A2 agent is in scope; a labelled question set to evaluate.</t>
        </is>
      </c>
      <c r="I7" s="29" t="inlineStr">
        <is>
          <t>Advisory assistant (autonomy A1) with guard → retrieve → wrap → generate → label/log pipeline; Zone H refusals for AI actors; autonomy ladder A0–A5</t>
        </is>
      </c>
      <c r="J7" s="29" t="inlineStr">
        <is>
          <t>You chose to add an OpenAI assistant (25 Oct). Core decision path stays deterministic (OD-08). Multi-step planning agents (A4) are not built</t>
        </is>
      </c>
      <c r="K7" s="29" t="inlineStr">
        <is>
          <t>No multi-step agent or tool orchestration; assistant not evaluated on real documents (RQ-1)</t>
        </is>
      </c>
      <c r="L7" s="29" t="inlineStr">
        <is>
          <t>Decide whether an A2 'draft evidence pack for human approval' agent is in scope</t>
        </is>
      </c>
      <c r="M7" s="29" t="n"/>
      <c r="N7" s="29" t="n"/>
    </row>
    <row r="8" ht="46.25" customHeight="1" s="17">
      <c r="A8" s="29" t="inlineStr">
        <is>
          <t>7</t>
        </is>
      </c>
      <c r="B8" s="29" t="inlineStr">
        <is>
          <t>A: Engineering &amp; Transformation</t>
        </is>
      </c>
      <c r="C8" s="29" t="inlineStr">
        <is>
          <t>Knowledge graphs</t>
        </is>
      </c>
      <c r="D8" s="31" t="inlineStr">
        <is>
          <t>PARTIAL</t>
        </is>
      </c>
      <c r="E8" s="29" t="inlineStr">
        <is>
          <t>PARTIAL</t>
        </is>
      </c>
      <c r="F8" s="29" t="inlineStr">
        <is>
          <t>Claude alone</t>
        </is>
      </c>
      <c r="G8" s="29" t="inlineStr">
        <is>
          <t>Graph export (JSON, Mermaid, optional RDF) from relationships.yaml and crosswalk.</t>
        </is>
      </c>
      <c r="H8" s="29" t="inlineStr">
        <is>
          <t>None.</t>
        </is>
      </c>
      <c r="I8" s="29" t="inlineStr">
        <is>
          <t>Graph export from the semantic layer: nodes/edges JSON + Mermaid diagram; optional RDF/Turtle</t>
        </is>
      </c>
      <c r="J8" s="29" t="inlineStr">
        <is>
          <t>relationships.yaml (new), crosswalk (7 id types, 6 link-type codes / 8 type pairs, 168 exact-key links), joined view</t>
        </is>
      </c>
      <c r="K8" s="29" t="inlineStr">
        <is>
          <t>Stage 11 chose no graph database; enterprise graph has one untyped relation (relates_to, ER-11-02). "Justified by use case" is arguable for explainability only</t>
        </is>
      </c>
      <c r="L8" s="29" t="inlineStr">
        <is>
          <t>none (I can proceed with the lightweight export)</t>
        </is>
      </c>
      <c r="M8" s="29" t="n"/>
      <c r="N8" s="29" t="n"/>
    </row>
    <row r="9" ht="57.45" customHeight="1" s="17">
      <c r="A9" s="29" t="inlineStr">
        <is>
          <t>8</t>
        </is>
      </c>
      <c r="B9" s="29" t="inlineStr">
        <is>
          <t>A: Engineering &amp; Transformation</t>
        </is>
      </c>
      <c r="C9" s="29" t="inlineStr">
        <is>
          <t>Semantic Layer</t>
        </is>
      </c>
      <c r="D9" s="30" t="inlineStr">
        <is>
          <t>YES</t>
        </is>
      </c>
      <c r="E9" s="29" t="inlineStr">
        <is>
          <t>YES — done now</t>
        </is>
      </c>
      <c r="F9" s="29" t="inlineStr">
        <is>
          <t>Claude alone</t>
        </is>
      </c>
      <c r="G9" s="29" t="inlineStr">
        <is>
          <t>Create from existing repo evidence.</t>
        </is>
      </c>
      <c r="H9" s="29" t="inlineStr">
        <is>
          <t>None.</t>
        </is>
      </c>
      <c r="I9" s="29" t="inlineStr">
        <is>
          <t>Delivered: semantic-layer/ (glossary, entities, relationships, status taxonomy, business rules, metrics, access semantics, AI-context policy, workflows, constraints, context dependencies, JSON schema, generated JSON, tests, assessment)</t>
        </is>
      </c>
      <c r="J9" s="29" t="inlineStr">
        <is>
          <t>See §6</t>
        </is>
      </c>
      <c r="K9" s="29" t="inlineStr">
        <is>
          <t>Not yet proven portable — requires the model-swap test</t>
        </is>
      </c>
      <c r="L9" s="29" t="inlineStr">
        <is>
          <t>Run the portability test when ready</t>
        </is>
      </c>
      <c r="M9" s="29" t="n"/>
      <c r="N9" s="29" t="n"/>
    </row>
    <row r="10" ht="35.05" customHeight="1" s="17">
      <c r="A10" s="29" t="inlineStr">
        <is>
          <t>9</t>
        </is>
      </c>
      <c r="B10" s="29" t="inlineStr">
        <is>
          <t>A: Engineering &amp; Transformation</t>
        </is>
      </c>
      <c r="C10" s="29" t="inlineStr">
        <is>
          <t>Specification-Driven Development</t>
        </is>
      </c>
      <c r="D10" s="30" t="inlineStr">
        <is>
          <t>YES</t>
        </is>
      </c>
      <c r="E10" s="29" t="inlineStr">
        <is>
          <t>YES</t>
        </is>
      </c>
      <c r="F10" s="29" t="inlineStr">
        <is>
          <t>Claude alone</t>
        </is>
      </c>
      <c r="G10" s="29" t="inlineStr">
        <is>
          <t>Create from existing repo evidence.</t>
        </is>
      </c>
      <c r="H10" s="29" t="inlineStr">
        <is>
          <t>None.</t>
        </is>
      </c>
      <c r="I10" s="29" t="inlineStr">
        <is>
          <t>SDD evidence index: requirement → spec → contract → ADR → acceptance criterion</t>
        </is>
      </c>
      <c r="J10" s="29" t="inlineStr">
        <is>
          <t>52 FRs + 20 PNFRs, 48 spec business rules (SBR), 10 feature specs, OpenAPI (48 ops), 16 JSON schemas, DDL, AC- criteria, 18 ADRs (all still DRAFT status)</t>
        </is>
      </c>
      <c r="K10" s="29" t="inlineStr">
        <is>
          <t>ADRs never individually ACCEPTED (AB-AR-7)</t>
        </is>
      </c>
      <c r="L10" s="29" t="inlineStr">
        <is>
          <t>none</t>
        </is>
      </c>
      <c r="M10" s="29" t="n"/>
      <c r="N10" s="29" t="n"/>
    </row>
    <row r="11" ht="46.25" customHeight="1" s="17">
      <c r="A11" s="29" t="inlineStr">
        <is>
          <t>10</t>
        </is>
      </c>
      <c r="B11" s="29" t="inlineStr">
        <is>
          <t>A: Engineering &amp; Transformation</t>
        </is>
      </c>
      <c r="C11" s="29" t="inlineStr">
        <is>
          <t>Test-Driven Development</t>
        </is>
      </c>
      <c r="D11" s="30" t="inlineStr">
        <is>
          <t>YES</t>
        </is>
      </c>
      <c r="E11" s="29" t="inlineStr">
        <is>
          <t>YES</t>
        </is>
      </c>
      <c r="F11" s="29" t="inlineStr">
        <is>
          <t>Claude alone</t>
        </is>
      </c>
      <c r="G11" s="29" t="inlineStr">
        <is>
          <t>Create from existing repo evidence.</t>
        </is>
      </c>
      <c r="H11" s="29" t="inlineStr">
        <is>
          <t>None.</t>
        </is>
      </c>
      <c r="I11" s="29" t="inlineStr">
        <is>
          <t>Test pyramid &amp; evidence summary (characterization, unit, integration, regression, contract, e2e, mutation)</t>
        </is>
      </c>
      <c r="J11" s="29" t="inlineStr">
        <is>
          <t>Characterization harness 134/134; mutation gate 15/15 (vs shipped suite 1/15); 396 ok / 1 skipped at Stage 16; 419 methods at Stage 20, 31 regression groups green at final merge; planned tests per increment written before build</t>
        </is>
      </c>
      <c r="K11" s="29" t="inlineStr">
        <is>
          <t>CT-13 fails on Node patch drift; test totals not re-run at final HEAD (U-43-12); no CI installed</t>
        </is>
      </c>
      <c r="L11" s="29" t="inlineStr">
        <is>
          <t>Permission to re-run in a sandbox copy if you want fresh numbers</t>
        </is>
      </c>
      <c r="M11" s="29" t="n"/>
      <c r="N11" s="29" t="n"/>
    </row>
    <row r="12" ht="35.05" customHeight="1" s="17">
      <c r="A12" s="29" t="inlineStr">
        <is>
          <t>11</t>
        </is>
      </c>
      <c r="B12" s="29" t="inlineStr">
        <is>
          <t>A: Engineering &amp; Transformation</t>
        </is>
      </c>
      <c r="C12" s="29" t="inlineStr">
        <is>
          <t>Security &amp; Threat Modeling</t>
        </is>
      </c>
      <c r="D12" s="30" t="inlineStr">
        <is>
          <t>YES</t>
        </is>
      </c>
      <c r="E12" s="29" t="inlineStr">
        <is>
          <t>YES</t>
        </is>
      </c>
      <c r="F12" s="29" t="inlineStr">
        <is>
          <t>Claude alone</t>
        </is>
      </c>
      <c r="G12" s="29" t="inlineStr">
        <is>
          <t>Create from existing repo evidence.</t>
        </is>
      </c>
      <c r="H12" s="29" t="inlineStr">
        <is>
          <t>None.</t>
        </is>
      </c>
      <c r="I12" s="29" t="inlineStr">
        <is>
          <t>Security story: threat model, attack surface, control matrix, red-team results</t>
        </is>
      </c>
      <c r="J12" s="29" t="inlineStr">
        <is>
          <t>docs/24-security-privacy/, TEVV (11 findings, no Critical, 1 High fixed under assumption), Stage 27 hardening (F-01..F-07 fixed)</t>
        </is>
      </c>
      <c r="K12" s="29" t="inlineStr">
        <is>
          <t>No LLM/RAG/agent threats because there is no AI; no TLS, no 2FA, no external pen test</t>
        </is>
      </c>
      <c r="L12" s="29" t="inlineStr">
        <is>
          <t>none</t>
        </is>
      </c>
      <c r="M12" s="29" t="n"/>
      <c r="N12" s="29" t="n"/>
    </row>
    <row r="13" ht="35.05" customHeight="1" s="17">
      <c r="A13" s="29" t="inlineStr">
        <is>
          <t>12</t>
        </is>
      </c>
      <c r="B13" s="29" t="inlineStr">
        <is>
          <t>A: Engineering &amp; Transformation</t>
        </is>
      </c>
      <c r="C13" s="29" t="inlineStr">
        <is>
          <t>Compliance &amp; Governance</t>
        </is>
      </c>
      <c r="D13" s="30" t="inlineStr">
        <is>
          <t>YES</t>
        </is>
      </c>
      <c r="E13" s="29" t="inlineStr">
        <is>
          <t>YES (with wording limits)</t>
        </is>
      </c>
      <c r="F13" s="29" t="inlineStr">
        <is>
          <t>Claude alone</t>
        </is>
      </c>
      <c r="G13" s="29" t="inlineStr">
        <is>
          <t>Create from existing repo evidence.</t>
        </is>
      </c>
      <c r="H13" s="29" t="inlineStr">
        <is>
          <t>None.</t>
        </is>
      </c>
      <c r="I13" s="29" t="inlineStr">
        <is>
          <t>Compliance &amp; governance summary: obligations OB-01..OB-16, control matrix, system card, model card, AI-system register</t>
        </is>
      </c>
      <c r="J13" s="29" t="inlineStr">
        <is>
          <t>docs/25-governance/</t>
        </is>
      </c>
      <c r="K13" s="29" t="inlineStr">
        <is>
          <t>You decided "Part 11 framing only, no 'compliant' claims" (OD-30). Retention is hold-all; privacy regime not assessed</t>
        </is>
      </c>
      <c r="L13" s="29" t="inlineStr">
        <is>
          <t>none</t>
        </is>
      </c>
      <c r="M13" s="29" t="n"/>
      <c r="N13" s="29" t="n"/>
    </row>
    <row r="14" ht="35.05" customHeight="1" s="17">
      <c r="A14" s="29" t="inlineStr">
        <is>
          <t>13</t>
        </is>
      </c>
      <c r="B14" s="29" t="inlineStr">
        <is>
          <t>A: Engineering &amp; Transformation</t>
        </is>
      </c>
      <c r="C14" s="29" t="inlineStr">
        <is>
          <t>Production Engineering</t>
        </is>
      </c>
      <c r="D14" s="31" t="inlineStr">
        <is>
          <t>PARTIAL</t>
        </is>
      </c>
      <c r="E14" s="29" t="inlineStr">
        <is>
          <t>PARTIAL</t>
        </is>
      </c>
      <c r="F14" s="29" t="inlineStr">
        <is>
          <t>Both</t>
        </is>
      </c>
      <c r="G14" s="29" t="inlineStr">
        <is>
          <t>Wire resilience, observability exports, CI and release evaluator in a sandbox copy; produce built-vs-wired matrix.</t>
        </is>
      </c>
      <c r="H14" s="29" t="inlineStr">
        <is>
          <t>Yes/no on wiring; off-device backup location; person for restore drill; Python 3.12+ decision.</t>
        </is>
      </c>
      <c r="I14" s="29" t="inlineStr">
        <is>
          <t>Built-vs-wired readiness matrix (observability, resilience, rollback, performance, scalability, ops readiness)</t>
        </is>
      </c>
      <c r="J14" s="29" t="inlineStr">
        <is>
          <t>Stages 27–31: runbook, SLO candidates (5), failure injection, backup/restore + rollback rehearsal, RTO/RPO targets</t>
        </is>
      </c>
      <c r="K14" s="29" t="inlineStr">
        <is>
          <t>Resilience, observability exports, release evaluator, CI file exist but are not wired/installed; no deployed environment; 24 of 38 readiness checks met</t>
        </is>
      </c>
      <c r="L14" s="29" t="inlineStr">
        <is>
          <t>Decide whether to wire them before the demo</t>
        </is>
      </c>
      <c r="M14" s="29" t="n"/>
      <c r="N14" s="29" t="n"/>
    </row>
    <row r="15" ht="35.05" customHeight="1" s="17">
      <c r="A15" s="29" t="inlineStr">
        <is>
          <t>14</t>
        </is>
      </c>
      <c r="B15" s="29" t="inlineStr">
        <is>
          <t>A: Engineering &amp; Transformation</t>
        </is>
      </c>
      <c r="C15" s="29" t="inlineStr">
        <is>
          <t>Evidence-Based Comparison</t>
        </is>
      </c>
      <c r="D15" s="31" t="inlineStr">
        <is>
          <t>PARTIAL</t>
        </is>
      </c>
      <c r="E15" s="29" t="inlineStr">
        <is>
          <t>PARTIAL / LATER</t>
        </is>
      </c>
      <c r="F15" s="29" t="inlineStr">
        <is>
          <t>Both</t>
        </is>
      </c>
      <c r="G15" s="29" t="inlineStr">
        <is>
          <t>Comparison harness design and scenario set; legacy-vs-hub table from Stage 34/35.</t>
        </is>
      </c>
      <c r="H15" s="29" t="inlineStr">
        <is>
          <t>App B; labour rate, volumes, effort actuals for ROI.</t>
        </is>
      </c>
      <c r="I15" s="29" t="inlineStr">
        <is>
          <t>Comparison harness design + scenario set; legacy-vs-hub table from Stage 34/35</t>
        </is>
      </c>
      <c r="J15" s="29" t="inlineStr">
        <is>
          <t>Identical scenarios exist (FX-BASE125, goldens). Only 3 like-for-like KPI pairs, all "sandbox parity"</t>
        </is>
      </c>
      <c r="K15" s="29" t="inlineStr">
        <is>
          <t>Needs App B for A-vs-B. ROI not computable; latency has no target; model cost is USD 0 by design. No improvement can be claimed</t>
        </is>
      </c>
      <c r="L15" s="29" t="inlineStr">
        <is>
          <t>App B (see #4)</t>
        </is>
      </c>
      <c r="M15" s="29" t="n"/>
      <c r="N15" s="29" t="n"/>
    </row>
    <row r="16" ht="35.05" customHeight="1" s="17">
      <c r="A16" s="29" t="inlineStr">
        <is>
          <t>15</t>
        </is>
      </c>
      <c r="B16" s="29" t="inlineStr">
        <is>
          <t>A: Engineering &amp; Transformation</t>
        </is>
      </c>
      <c r="C16" s="29" t="inlineStr">
        <is>
          <t>Birlasoft Branding</t>
        </is>
      </c>
      <c r="D16" s="31" t="inlineStr">
        <is>
          <t>PARTIAL</t>
        </is>
      </c>
      <c r="E16" s="29" t="inlineStr">
        <is>
          <t>PARTIAL (updated 25 Oct)</t>
        </is>
      </c>
      <c r="F16" s="29" t="inlineStr">
        <is>
          <t>Both</t>
        </is>
      </c>
      <c r="G16" s="29" t="inlineStr">
        <is>
          <t>Done 25 Oct: styled from the annual-report sample (wordmark, palette, heading style).</t>
        </is>
      </c>
      <c r="H16" s="29" t="inlineStr">
        <is>
          <t>Official template, if one exists.</t>
        </is>
      </c>
      <c r="I16" s="29" t="inlineStr">
        <is>
          <t>Deck, Command Centre and diagrams styled from the Birlasoft Annual Report 2024-25 sample (wordmark, red/grey palette, two-line grey + red headings)</t>
        </is>
      </c>
      <c r="J16" s="29" t="inlineStr">
        <is>
          <t>Requried-External-Input/sample-Birlasoft-PPTx.pdf</t>
        </is>
      </c>
      <c r="K16" s="29" t="inlineStr">
        <is>
          <t>No official .potx template or brand guideline; fonts substituted with Arial (the report uses Locator)</t>
        </is>
      </c>
      <c r="L16" s="29" t="inlineStr">
        <is>
          <t>Official template if one exists</t>
        </is>
      </c>
      <c r="M16" s="29" t="n"/>
      <c r="N16" s="29" t="n"/>
    </row>
    <row r="17" ht="91" customHeight="1" s="17">
      <c r="A17" s="29" t="inlineStr">
        <is>
          <t>16</t>
        </is>
      </c>
      <c r="B17" s="29" t="inlineStr">
        <is>
          <t>A: Engineering &amp; Transformation</t>
        </is>
      </c>
      <c r="C17" s="29" t="inlineStr">
        <is>
          <t>Board-Level Presentation</t>
        </is>
      </c>
      <c r="D17" s="30" t="inlineStr">
        <is>
          <t>YES</t>
        </is>
      </c>
      <c r="E17" s="29" t="inlineStr">
        <is>
          <t>YES (updated 25 Oct)</t>
        </is>
      </c>
      <c r="F17" s="29" t="inlineStr">
        <is>
          <t>Claude alone</t>
        </is>
      </c>
      <c r="G17" s="29" t="inlineStr">
        <is>
          <t>Done 25 Oct: 31-slide CTO deck with speaker notes (05_CTO_Presentation).</t>
        </is>
      </c>
      <c r="H17" s="29" t="inlineStr">
        <is>
          <t>Rehearse.</t>
        </is>
      </c>
      <c r="I17" s="29" t="inlineStr">
        <is>
          <t>05_CTO_Presentation/GxP_Quality_Hub_CTO_Presentation.pptx: 31 slides with speaker notes (Team Delta on the title slide; before/now architecture, hub module map and engineering comparison slides), CTO audience, 3W + How, problem → solution → functional flow → technical implementation → evidence → value → lessons → moonshots</t>
        </is>
      </c>
      <c r="J17" s="29" t="inlineStr">
        <is>
          <t>Stage 42 content, Command Centre screenshots, input brief Input-for-PresentationsDeck.txt</t>
        </is>
      </c>
      <c r="K17" s="29" t="inlineStr">
        <is>
          <t>Value slides state 'not computable' where true</t>
        </is>
      </c>
      <c r="L17" s="29" t="inlineStr">
        <is>
          <t>Rehearse timing (about 1.5 min per slide)</t>
        </is>
      </c>
      <c r="M17" s="29" t="n"/>
      <c r="N17" s="29" t="n"/>
    </row>
    <row r="18" ht="46.25" customHeight="1" s="17">
      <c r="A18" s="29" t="inlineStr">
        <is>
          <t>17</t>
        </is>
      </c>
      <c r="B18" s="29" t="inlineStr">
        <is>
          <t>A: Engineering &amp; Transformation</t>
        </is>
      </c>
      <c r="C18" s="29" t="inlineStr">
        <is>
          <t>Live End-to-End Demonstration</t>
        </is>
      </c>
      <c r="D18" s="30" t="inlineStr">
        <is>
          <t>YES</t>
        </is>
      </c>
      <c r="E18" s="29" t="inlineStr">
        <is>
          <t>YES (updated 25 Oct)</t>
        </is>
      </c>
      <c r="F18" s="29" t="inlineStr">
        <is>
          <t>Claude alone</t>
        </is>
      </c>
      <c r="G18" s="29" t="inlineStr">
        <is>
          <t>Done 25 Oct: live demo on local machine, Python 3.14; recorded fallback in deck.</t>
        </is>
      </c>
      <c r="H18" s="29" t="inlineStr">
        <is>
          <t>Optional OPENAI_API_KEY for model mode.</t>
        </is>
      </c>
      <c r="I18" s="29" t="inlineStr">
        <is>
          <t>Command Centre live demo on the local machine with Python 3.14 (start-windows.bat or py -3.14 run.py); 8-minute demo path in its README; deck slides 18–21 are the recorded fallback</t>
        </is>
      </c>
      <c r="J18" s="29" t="inlineStr">
        <is>
          <t>Tested on Python 3.14.6 and 3.10.12; 15 app tests pass; reproduces 89/125, 742,956.61 vs 622,826.44, 8,335 queue items, replay Δ 0</t>
        </is>
      </c>
      <c r="K18" s="29" t="inlineStr">
        <is>
          <t>The hub's own test suite has not been re-run on 3.14 (goldens were recorded on 3.10, LL-18)</t>
        </is>
      </c>
      <c r="L18" s="29" t="inlineStr">
        <is>
          <t>Optional: set OPENAI_API_KEY to show model mode</t>
        </is>
      </c>
      <c r="M18" s="29" t="n"/>
      <c r="N18" s="29" t="n"/>
    </row>
    <row r="19" ht="23.85" customHeight="1" s="17">
      <c r="A19" s="29" t="inlineStr">
        <is>
          <t>18</t>
        </is>
      </c>
      <c r="B19" s="29" t="inlineStr">
        <is>
          <t>A: Engineering &amp; Transformation</t>
        </is>
      </c>
      <c r="C19" s="29" t="inlineStr">
        <is>
          <t>Engineering Evidence &amp; Traceability</t>
        </is>
      </c>
      <c r="D19" s="30" t="inlineStr">
        <is>
          <t>YES</t>
        </is>
      </c>
      <c r="E19" s="29" t="inlineStr">
        <is>
          <t>YES</t>
        </is>
      </c>
      <c r="F19" s="29" t="inlineStr">
        <is>
          <t>Claude alone</t>
        </is>
      </c>
      <c r="G19" s="29" t="inlineStr">
        <is>
          <t>Create from existing repo evidence.</t>
        </is>
      </c>
      <c r="H19" s="29" t="inlineStr">
        <is>
          <t>None.</t>
        </is>
      </c>
      <c r="I19" s="29" t="inlineStr">
        <is>
          <t>Evidence index: claim → artifact → test/log → hash</t>
        </is>
      </c>
      <c r="J19" s="29" t="inlineStr">
        <is>
          <t>Claims register C-01..C-34, RTM (docs/13), SHA256SUMS per stage, golden manifests</t>
        </is>
      </c>
      <c r="K19" s="29" t="inlineStr">
        <is>
          <t>Human sign-offs are all open</t>
        </is>
      </c>
      <c r="L19" s="29" t="inlineStr">
        <is>
          <t>none</t>
        </is>
      </c>
      <c r="M19" s="29" t="n"/>
      <c r="N19" s="29" t="n"/>
    </row>
    <row r="20" ht="23.85" customHeight="1" s="17">
      <c r="A20" s="29" t="inlineStr">
        <is>
          <t>19</t>
        </is>
      </c>
      <c r="B20" s="29" t="inlineStr">
        <is>
          <t>B: Presentation &amp; Executive Defence</t>
        </is>
      </c>
      <c r="C20" s="29" t="inlineStr">
        <is>
          <t>Time-boxed (40 + 10 min)</t>
        </is>
      </c>
      <c r="D20" s="30" t="inlineStr">
        <is>
          <t>YES</t>
        </is>
      </c>
      <c r="E20" s="29" t="inlineStr">
        <is>
          <t>YES</t>
        </is>
      </c>
      <c r="F20" s="29" t="inlineStr">
        <is>
          <t>Claude alone</t>
        </is>
      </c>
      <c r="G20" s="29" t="inlineStr">
        <is>
          <t>Create from existing repo evidence.</t>
        </is>
      </c>
      <c r="H20" s="29" t="inlineStr">
        <is>
          <t>None.</t>
        </is>
      </c>
      <c r="I20" s="29" t="inlineStr">
        <is>
          <t>Minute-by-minute run-of-show with demo cut-points and Q&amp;A bank</t>
        </is>
      </c>
      <c r="J20" s="29" t="inlineStr">
        <is>
          <t>demo-day-script.md (15–20 min) to extend to 40</t>
        </is>
      </c>
      <c r="K20" s="29" t="inlineStr">
        <is>
          <t>Needs the second app for a full 40 min</t>
        </is>
      </c>
      <c r="L20" s="29" t="inlineStr">
        <is>
          <t>Confirm demo order</t>
        </is>
      </c>
      <c r="M20" s="29" t="n"/>
      <c r="N20" s="29" t="n"/>
    </row>
    <row r="21" ht="35.05" customHeight="1" s="17">
      <c r="A21" s="29" t="inlineStr">
        <is>
          <t>20</t>
        </is>
      </c>
      <c r="B21" s="29" t="inlineStr">
        <is>
          <t>B: Presentation &amp; Executive Defence</t>
        </is>
      </c>
      <c r="C21" s="29" t="inlineStr">
        <is>
          <t>Compelling storytelling</t>
        </is>
      </c>
      <c r="D21" s="30" t="inlineStr">
        <is>
          <t>YES</t>
        </is>
      </c>
      <c r="E21" s="29" t="inlineStr">
        <is>
          <t>YES (honest framing)</t>
        </is>
      </c>
      <c r="F21" s="29" t="inlineStr">
        <is>
          <t>Claude alone</t>
        </is>
      </c>
      <c r="G21" s="29" t="inlineStr">
        <is>
          <t>Create from existing repo evidence.</t>
        </is>
      </c>
      <c r="H21" s="29" t="inlineStr">
        <is>
          <t>None.</t>
        </is>
      </c>
      <c r="I21" s="29" t="inlineStr">
        <is>
          <t>Narrative arc: problem → consequences → journey → outcomes</t>
        </is>
      </c>
      <c r="J21" s="29" t="inlineStr">
        <is>
          <t>executive-narrative.md, problem-to-value-story.md. Data hooks: month-end total 742,956.61 vs 622,826.44 (19.3 % join fan-out); 97.98 % of feed rows unmatched</t>
        </is>
      </c>
      <c r="K21" s="29" t="inlineStr">
        <is>
          <t>Consequences are not quantified in money; no real stakeholders</t>
        </is>
      </c>
      <c r="L21" s="29" t="inlineStr">
        <is>
          <t>none</t>
        </is>
      </c>
      <c r="M21" s="29" t="n"/>
      <c r="N21" s="29" t="n"/>
    </row>
    <row r="22" ht="23.85" customHeight="1" s="17">
      <c r="A22" s="29" t="inlineStr">
        <is>
          <t>21</t>
        </is>
      </c>
      <c r="B22" s="29" t="inlineStr">
        <is>
          <t>B: Presentation &amp; Executive Defence</t>
        </is>
      </c>
      <c r="C22" s="29" t="inlineStr">
        <is>
          <t>Problem → Solution → Impact</t>
        </is>
      </c>
      <c r="D22" s="31" t="inlineStr">
        <is>
          <t>PARTIAL</t>
        </is>
      </c>
      <c r="E22" s="29" t="inlineStr">
        <is>
          <t>PARTIAL</t>
        </is>
      </c>
      <c r="F22" s="29" t="inlineStr">
        <is>
          <t>Both</t>
        </is>
      </c>
      <c r="G22" s="29" t="inlineStr">
        <is>
          <t>One-page problem-solution-impact, framed as impact unmeasured.</t>
        </is>
      </c>
      <c r="H22" s="29" t="inlineStr">
        <is>
          <t>After-window or pilot data for measured impact, or accept the honest framing.</t>
        </is>
      </c>
      <c r="I22" s="29" t="inlineStr">
        <is>
          <t>One-page P→S→I</t>
        </is>
      </c>
      <c r="J22" s="29" t="inlineStr">
        <is>
          <t>Eight confirmed root causes RC-1..RC-8; solution = 10 capabilities; impact = parity + risk-control mechanisms</t>
        </is>
      </c>
      <c r="K22" s="29" t="inlineStr">
        <is>
          <t>"Business value delivered" is not measurable today</t>
        </is>
      </c>
      <c r="L22" s="29" t="inlineStr">
        <is>
          <t>none</t>
        </is>
      </c>
      <c r="M22" s="29" t="n"/>
      <c r="N22" s="29" t="n"/>
    </row>
    <row r="23" ht="23.85" customHeight="1" s="17">
      <c r="A23" s="29" t="inlineStr">
        <is>
          <t>22</t>
        </is>
      </c>
      <c r="B23" s="29" t="inlineStr">
        <is>
          <t>B: Presentation &amp; Executive Defence</t>
        </is>
      </c>
      <c r="C23" s="29" t="inlineStr">
        <is>
          <t>Business + technical balance</t>
        </is>
      </c>
      <c r="D23" s="30" t="inlineStr">
        <is>
          <t>YES</t>
        </is>
      </c>
      <c r="E23" s="29" t="inlineStr">
        <is>
          <t>YES</t>
        </is>
      </c>
      <c r="F23" s="29" t="inlineStr">
        <is>
          <t>Claude alone</t>
        </is>
      </c>
      <c r="G23" s="29" t="inlineStr">
        <is>
          <t>Create from existing repo evidence.</t>
        </is>
      </c>
      <c r="H23" s="29" t="inlineStr">
        <is>
          <t>None.</t>
        </is>
      </c>
      <c r="I23" s="29" t="inlineStr">
        <is>
          <t>Slide-budget plan (equal weight)</t>
        </is>
      </c>
      <c r="J23" s="29" t="inlineStr">
        <is>
          <t>Business: personas, KPIs, value hypothesis. Technical: ADRs, specs, tests</t>
        </is>
      </c>
      <c r="K23" s="29" t="inlineStr">
        <is>
          <t>—</t>
        </is>
      </c>
      <c r="L23" s="29" t="inlineStr">
        <is>
          <t>none</t>
        </is>
      </c>
      <c r="M23" s="29" t="n"/>
      <c r="N23" s="29" t="n"/>
    </row>
    <row r="24" ht="35.05" customHeight="1" s="17">
      <c r="A24" s="29" t="inlineStr">
        <is>
          <t>23</t>
        </is>
      </c>
      <c r="B24" s="29" t="inlineStr">
        <is>
          <t>B: Presentation &amp; Executive Defence</t>
        </is>
      </c>
      <c r="C24" s="29" t="inlineStr">
        <is>
          <t>Before vs After KPIs</t>
        </is>
      </c>
      <c r="D24" s="31" t="inlineStr">
        <is>
          <t>PARTIAL</t>
        </is>
      </c>
      <c r="E24" s="29" t="inlineStr">
        <is>
          <t>PARTIAL</t>
        </is>
      </c>
      <c r="F24" s="29" t="inlineStr">
        <is>
          <t>Both</t>
        </is>
      </c>
      <c r="G24" s="29" t="inlineStr">
        <is>
          <t>Charts for all 22 KPIs, colour-coded by comparability, from Stage 4 and Stage 34 sheets.</t>
        </is>
      </c>
      <c r="H24" s="29" t="inlineStr">
        <is>
          <t>Time, effort and closure/evidence timestamps; sign the baseline freeze.</t>
        </is>
      </c>
      <c r="I24" s="29" t="inlineStr">
        <is>
          <t>KPI before/after charts for 22 KPIs, colour-coded by comparability class</t>
        </is>
      </c>
      <c r="J24" s="29" t="inlineStr">
        <is>
          <t>Stage 34 sheet. Comparable: backlog 89/125 (parity), reopen rate 6.4 % (parity), replay safety Δ0, decisions recorded 0→2 of 2</t>
        </is>
      </c>
      <c r="K24" s="29" t="inlineStr">
        <is>
          <t>Most KPIs Unknown (no closure/evidence timestamps). K-03 0 %→4/4 is not like-for-like. Productivity/performance have no baseline</t>
        </is>
      </c>
      <c r="L24" s="29" t="inlineStr">
        <is>
          <t>Decide whether to add measured build-effort data</t>
        </is>
      </c>
      <c r="M24" s="29" t="n"/>
      <c r="N24" s="29" t="n"/>
    </row>
    <row r="25" ht="46.25" customHeight="1" s="17">
      <c r="A25" s="29" t="inlineStr">
        <is>
          <t>24</t>
        </is>
      </c>
      <c r="B25" s="29" t="inlineStr">
        <is>
          <t>B: Presentation &amp; Executive Defence</t>
        </is>
      </c>
      <c r="C25" s="29" t="inlineStr">
        <is>
          <t>GenAI Value Justification</t>
        </is>
      </c>
      <c r="D25" s="31" t="inlineStr">
        <is>
          <t>PARTIAL</t>
        </is>
      </c>
      <c r="E25" s="29" t="inlineStr">
        <is>
          <t>PARTIAL (updated 25 Oct)</t>
        </is>
      </c>
      <c r="F25" s="29" t="inlineStr">
        <is>
          <t>Both</t>
        </is>
      </c>
      <c r="G25" s="29" t="inlineStr">
        <is>
          <t>Done 25 Oct: AI-vs-engineering attribution and can/cannot slides; assistant demo.</t>
        </is>
      </c>
      <c r="H25" s="29" t="inlineStr">
        <is>
          <t>Labelled question set (RQ-1) and effort data to measure AI value.</t>
        </is>
      </c>
      <c r="I25" s="29" t="inlineStr">
        <is>
          <t>Deck slides 'Which gains came from AI' and 'What AI can and cannot do'; assistant demonstrates grounded explanation with citations</t>
        </is>
      </c>
      <c r="J25" s="29" t="inlineStr">
        <is>
          <t>ai-decision-defence.md; Command Centre assistant; semantic layer as model-portable context</t>
        </is>
      </c>
      <c r="K25" s="29" t="inlineStr">
        <is>
          <t>Every measured improvement came from traditional engineering; AI value (reviewer time, answer quality) is not yet measured; build-effort saving not recorded (LL-14)</t>
        </is>
      </c>
      <c r="L25" s="29" t="inlineStr">
        <is>
          <t>A labelled question set (RQ-1) to evaluate the assistant</t>
        </is>
      </c>
      <c r="M25" s="29" t="n"/>
      <c r="N25" s="29" t="n"/>
    </row>
    <row r="26" ht="23.85" customHeight="1" s="17">
      <c r="A26" s="29" t="inlineStr">
        <is>
          <t>25</t>
        </is>
      </c>
      <c r="B26" s="29" t="inlineStr">
        <is>
          <t>B: Presentation &amp; Executive Defence</t>
        </is>
      </c>
      <c r="C26" s="29" t="inlineStr">
        <is>
          <t>Visual-first communication</t>
        </is>
      </c>
      <c r="D26" s="30" t="inlineStr">
        <is>
          <t>YES</t>
        </is>
      </c>
      <c r="E26" s="29" t="inlineStr">
        <is>
          <t>YES</t>
        </is>
      </c>
      <c r="F26" s="29" t="inlineStr">
        <is>
          <t>Claude alone</t>
        </is>
      </c>
      <c r="G26" s="29" t="inlineStr">
        <is>
          <t>Create from existing repo evidence.</t>
        </is>
      </c>
      <c r="H26" s="29" t="inlineStr">
        <is>
          <t>None.</t>
        </is>
      </c>
      <c r="I26" s="29" t="inlineStr">
        <is>
          <t>Architecture, workflow, graph, KPI and traceability diagrams</t>
        </is>
      </c>
      <c r="J26" s="29" t="inlineStr">
        <is>
          <t>Component model, ADRs, workflows, semantic layer</t>
        </is>
      </c>
      <c r="K26" s="29" t="inlineStr">
        <is>
          <t>Branding (#15)</t>
        </is>
      </c>
      <c r="L26" s="29" t="inlineStr">
        <is>
          <t>Branding assets</t>
        </is>
      </c>
      <c r="M26" s="29" t="n"/>
      <c r="N26" s="29" t="n"/>
    </row>
    <row r="27" ht="23.85" customHeight="1" s="17">
      <c r="A27" s="29" t="inlineStr">
        <is>
          <t>26</t>
        </is>
      </c>
      <c r="B27" s="29" t="inlineStr">
        <is>
          <t>B: Presentation &amp; Executive Defence</t>
        </is>
      </c>
      <c r="C27" s="29" t="inlineStr">
        <is>
          <t>Evidence-based demonstration</t>
        </is>
      </c>
      <c r="D27" s="30" t="inlineStr">
        <is>
          <t>YES</t>
        </is>
      </c>
      <c r="E27" s="29" t="inlineStr">
        <is>
          <t>YES</t>
        </is>
      </c>
      <c r="F27" s="29" t="inlineStr">
        <is>
          <t>Claude alone</t>
        </is>
      </c>
      <c r="G27" s="29" t="inlineStr">
        <is>
          <t>Create from existing repo evidence.</t>
        </is>
      </c>
      <c r="H27" s="29" t="inlineStr">
        <is>
          <t>None.</t>
        </is>
      </c>
      <c r="I27" s="29" t="inlineStr">
        <is>
          <t>Proof-of-work bundle: logs, test outputs, hashes</t>
        </is>
      </c>
      <c r="J27" s="29" t="inlineStr">
        <is>
          <t>s30-log-, docs/16-repo-validation/evidence, TEVV evidence, golden compare</t>
        </is>
      </c>
      <c r="K27" s="29" t="inlineStr">
        <is>
          <t>Fresh run optional</t>
        </is>
      </c>
      <c r="L27" s="29" t="inlineStr">
        <is>
          <t>none</t>
        </is>
      </c>
      <c r="M27" s="29" t="n"/>
      <c r="N27" s="29" t="n"/>
    </row>
    <row r="28" ht="46.25" customHeight="1" s="17">
      <c r="A28" s="29" t="inlineStr">
        <is>
          <t>27</t>
        </is>
      </c>
      <c r="B28" s="29" t="inlineStr">
        <is>
          <t>B: Presentation &amp; Executive Defence</t>
        </is>
      </c>
      <c r="C28" s="29" t="inlineStr">
        <is>
          <t>End-to-end transformation traceability</t>
        </is>
      </c>
      <c r="D28" s="31" t="inlineStr">
        <is>
          <t>PARTIAL</t>
        </is>
      </c>
      <c r="E28" s="29" t="inlineStr">
        <is>
          <t>PARTIAL</t>
        </is>
      </c>
      <c r="F28" s="29" t="inlineStr">
        <is>
          <t>Both</t>
        </is>
      </c>
      <c r="G28" s="29" t="inlineStr">
        <is>
          <t>Traceability ribbon from discovery to semantic layer from existing stage documents.</t>
        </is>
      </c>
      <c r="H28" s="29" t="inlineStr">
        <is>
          <t>Instruct Stages 38 and 41 to be produced; AI step stays N/A unless #6 changes.</t>
        </is>
      </c>
      <c r="I28" s="29" t="inlineStr">
        <is>
          <t>Traceability ribbon: discovery (S5/7) → rule extraction (S6/12) → architecture (S10) → modernization (S15) → validation (S16/26) → readiness (S30) → semantic layer</t>
        </is>
      </c>
      <c r="J28" s="29" t="inlineStr">
        <is>
          <t>All stages documented</t>
        </is>
      </c>
      <c r="K28" s="29" t="inlineStr">
        <is>
          <t>"AI integration" step is N/A; production readiness = BLOCKED</t>
        </is>
      </c>
      <c r="L28" s="29" t="inlineStr">
        <is>
          <t>none</t>
        </is>
      </c>
      <c r="M28" s="29" t="n"/>
      <c r="N28" s="29" t="n"/>
    </row>
    <row r="29" ht="35.05" customHeight="1" s="17">
      <c r="A29" s="29" t="inlineStr">
        <is>
          <t>28</t>
        </is>
      </c>
      <c r="B29" s="29" t="inlineStr">
        <is>
          <t>B: Presentation &amp; Executive Defence</t>
        </is>
      </c>
      <c r="C29" s="29" t="inlineStr">
        <is>
          <t>Crisp lessons learned (4–5)</t>
        </is>
      </c>
      <c r="D29" s="30" t="inlineStr">
        <is>
          <t>YES</t>
        </is>
      </c>
      <c r="E29" s="29" t="inlineStr">
        <is>
          <t>YES</t>
        </is>
      </c>
      <c r="F29" s="29" t="inlineStr">
        <is>
          <t>Claude alone</t>
        </is>
      </c>
      <c r="G29" s="29" t="inlineStr">
        <is>
          <t>Create from existing repo evidence.</t>
        </is>
      </c>
      <c r="H29" s="29" t="inlineStr">
        <is>
          <t>None.</t>
        </is>
      </c>
      <c r="I29" s="29" t="inlineStr">
        <is>
          <t>Five lessons distilled from the 18 recorded (engineering, business, GenAI limits, unexpected, future)</t>
        </is>
      </c>
      <c r="J29" s="29" t="inlineStr">
        <is>
          <t>lessons-learned.md LL-01..LL-18</t>
        </is>
      </c>
      <c r="K29" s="29" t="inlineStr">
        <is>
          <t>Lessons about GenAI limits come from the build process, not product use</t>
        </is>
      </c>
      <c r="L29" s="29" t="inlineStr">
        <is>
          <t>none</t>
        </is>
      </c>
      <c r="M29" s="29" t="n"/>
      <c r="N29" s="29" t="n"/>
    </row>
  </sheetData>
  <autoFilter ref="A1:N2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6" min="1" max="1"/>
    <col width="70" customWidth="1" style="16" min="2" max="2"/>
    <col width="40" customWidth="1" style="16" min="3" max="3"/>
    <col width="30" customWidth="1" style="16" min="4" max="5"/>
    <col width="16" customWidth="1" style="16" min="6" max="6"/>
    <col width="12" customWidth="1" style="16" min="7" max="7"/>
  </cols>
  <sheetData>
    <row r="1" ht="26.85" customHeight="1" s="17">
      <c r="A1" s="28" t="inlineStr">
        <is>
          <t>#</t>
        </is>
      </c>
      <c r="B1" s="28" t="inlineStr">
        <is>
          <t>Decision (only the owner can make)</t>
        </is>
      </c>
      <c r="C1" s="28" t="inlineStr">
        <is>
          <t>Why now</t>
        </is>
      </c>
      <c r="D1" s="28" t="inlineStr">
        <is>
          <t>Unblocks</t>
        </is>
      </c>
      <c r="E1" s="28" t="inlineStr">
        <is>
          <t>Source</t>
        </is>
      </c>
      <c r="F1" s="28" t="inlineStr">
        <is>
          <t>Decision recorded?</t>
        </is>
      </c>
      <c r="G1" s="28" t="inlineStr">
        <is>
          <t>Date</t>
        </is>
      </c>
    </row>
    <row r="2" ht="23.85" customHeight="1" s="17">
      <c r="A2" s="29" t="inlineStr">
        <is>
          <t>1</t>
        </is>
      </c>
      <c r="B2" s="29" t="inlineStr">
        <is>
          <t>Is this engagement continuing toward a pilot, or stopping at a documented sandbox build? Record the go-ahead (roadmap D+0) or a stop</t>
        </is>
      </c>
      <c r="C2" s="29" t="inlineStr">
        <is>
          <t>Everything depends on it; the roadmap takes no position</t>
        </is>
      </c>
      <c r="D2" s="29" t="inlineStr">
        <is>
          <t>all</t>
        </is>
      </c>
      <c r="E2" s="29" t="inlineStr">
        <is>
          <t>90-day-roadmap.md SB-01</t>
        </is>
      </c>
      <c r="F2" s="29" t="inlineStr">
        <is>
          <t>Open</t>
        </is>
      </c>
      <c r="G2" s="29" t="n"/>
    </row>
    <row r="3" ht="35.05" customHeight="1" s="17">
      <c r="A3" s="29" t="inlineStr">
        <is>
          <t>2</t>
        </is>
      </c>
      <c r="B3" s="29" t="inlineStr">
        <is>
          <t>Release decision: go / no-go across the 40 approval records (22 release approvals plus step-specific ones, per the evaluator rule); at minimum DV-01..DV-11 preserve-or-fix, CUT-1..CUT-5, G1..G10 acknowledgement</t>
        </is>
      </c>
      <c r="C3" s="29" t="inlineStr">
        <is>
          <t>Gate BLOCKED at 0 of 40</t>
        </is>
      </c>
      <c r="D3" s="29" t="inlineStr">
        <is>
          <t>G1 criterion, any cutover</t>
        </is>
      </c>
      <c r="E3" s="29" t="inlineStr">
        <is>
          <t>release-approvals.md; OD-37</t>
        </is>
      </c>
      <c r="F3" s="29" t="inlineStr">
        <is>
          <t>Open</t>
        </is>
      </c>
      <c r="G3" s="29" t="n"/>
    </row>
    <row r="4" ht="15" customHeight="1" s="17">
      <c r="A4" s="29" t="inlineStr">
        <is>
          <t>3</t>
        </is>
      </c>
      <c r="B4" s="29" t="inlineStr">
        <is>
          <t>Name Zone H holders, or declare Zone H unused for the pilot</t>
        </is>
      </c>
      <c r="C4" s="29" t="inlineStr">
        <is>
          <t>Human gate cannot be exercised without them</t>
        </is>
      </c>
      <c r="D4" s="29" t="inlineStr">
        <is>
          <t>RP-09, pilot</t>
        </is>
      </c>
      <c r="E4" s="29" t="inlineStr">
        <is>
          <t>OD-31</t>
        </is>
      </c>
      <c r="F4" s="29" t="inlineStr">
        <is>
          <t>Open</t>
        </is>
      </c>
      <c r="G4" s="29" t="n"/>
    </row>
    <row r="5" ht="23.85" customHeight="1" s="17">
      <c r="A5" s="29" t="inlineStr">
        <is>
          <t>4</t>
        </is>
      </c>
      <c r="B5" s="29" t="inlineStr">
        <is>
          <t>Name owners/responder, or state explicitly that Dinesh alone is the pilot owner; appoint a second reviewer or record that none exists (DQ-17)</t>
        </is>
      </c>
      <c r="C5" s="29" t="inlineStr">
        <is>
          <t>0/28 owners; single approver</t>
        </is>
      </c>
      <c r="D5" s="29" t="inlineStr">
        <is>
          <t>RP-01, TOM</t>
        </is>
      </c>
      <c r="E5" s="29" t="inlineStr">
        <is>
          <t>OD-34</t>
        </is>
      </c>
      <c r="F5" s="29" t="inlineStr">
        <is>
          <t>Open</t>
        </is>
      </c>
      <c r="G5" s="29" t="n"/>
    </row>
    <row r="6" ht="23.85" customHeight="1" s="17">
      <c r="A6" s="29" t="inlineStr">
        <is>
          <t>5</t>
        </is>
      </c>
      <c r="B6" s="29" t="inlineStr">
        <is>
          <t>Define the after-window: start, unit, minimum duration, data owner, capture method for time and effort</t>
        </is>
      </c>
      <c r="C6" s="29" t="inlineStr">
        <is>
          <t>Without it ROI is never computable</t>
        </is>
      </c>
      <c r="D6" s="29" t="inlineStr">
        <is>
          <t>Stage 34/35/36 v0.2</t>
        </is>
      </c>
      <c r="E6" s="29" t="inlineStr">
        <is>
          <t>G1-10; D-34-02</t>
        </is>
      </c>
      <c r="F6" s="29" t="inlineStr">
        <is>
          <t>Open</t>
        </is>
      </c>
      <c r="G6" s="29" t="n"/>
    </row>
    <row r="7" ht="23.85" customHeight="1" s="17">
      <c r="A7" s="29" t="inlineStr">
        <is>
          <t>6</t>
        </is>
      </c>
      <c r="B7" s="29" t="inlineStr">
        <is>
          <t>Sign or amend the KPI baseline freeze; raise Stage 4 v0.2 addendum for A-04-01; provide an as_of parameter for the hub</t>
        </is>
      </c>
      <c r="C7" s="29" t="inlineStr">
        <is>
          <t>Baseline contestable</t>
        </is>
      </c>
      <c r="D7" s="29" t="inlineStr">
        <is>
          <t>like-for-like variance</t>
        </is>
      </c>
      <c r="E7" s="29" t="inlineStr">
        <is>
          <t>D-34-03/04</t>
        </is>
      </c>
      <c r="F7" s="29" t="inlineStr">
        <is>
          <t>Open</t>
        </is>
      </c>
      <c r="G7" s="29" t="n"/>
    </row>
    <row r="8" ht="15" customHeight="1" s="17">
      <c r="A8" s="29" t="inlineStr">
        <is>
          <t>7</t>
        </is>
      </c>
      <c r="B8" s="29" t="inlineStr">
        <is>
          <t>Decide the Python floor and run a 3.12+ regression</t>
        </is>
      </c>
      <c r="C8" s="29" t="inlineStr">
        <is>
          <t>Production target untested</t>
        </is>
      </c>
      <c r="D8" s="29" t="inlineStr">
        <is>
          <t>RT-14, VR-02</t>
        </is>
      </c>
      <c r="E8" s="29" t="inlineStr">
        <is>
          <t>D-27-02; SB-08, SB-12</t>
        </is>
      </c>
      <c r="F8" s="29" t="inlineStr">
        <is>
          <t>Open</t>
        </is>
      </c>
      <c r="G8" s="29" t="n"/>
    </row>
    <row r="9" ht="23.85" customHeight="1" s="17">
      <c r="A9" s="29" t="inlineStr">
        <is>
          <t>8</t>
        </is>
      </c>
      <c r="B9" s="29" t="inlineStr">
        <is>
          <t>Decide data posture: field classes, tenant, regime, retention, exposure (loopback vs wider with TLS/second factor/token expiry)</t>
        </is>
      </c>
      <c r="C9" s="29" t="inlineStr">
        <is>
          <t>Required before any real data</t>
        </is>
      </c>
      <c r="D9" s="29" t="inlineStr">
        <is>
          <t>RS-06, RP-04, RP-07, RS-01/02</t>
        </is>
      </c>
      <c r="E9" s="29" t="inlineStr">
        <is>
          <t>SB-20, SB-21</t>
        </is>
      </c>
      <c r="F9" s="29" t="inlineStr">
        <is>
          <t>Open</t>
        </is>
      </c>
      <c r="G9" s="29" t="n"/>
    </row>
    <row r="10" ht="23.85" customHeight="1" s="17">
      <c r="A10" s="29" t="inlineStr">
        <is>
          <t>9</t>
        </is>
      </c>
      <c r="B10" s="29" t="inlineStr">
        <is>
          <t>Accept, reject or reroute residual registers (RP, RS, RTR, VA, SR, F-11) with a review trigger for each</t>
        </is>
      </c>
      <c r="C10" s="29" t="inlineStr">
        <is>
          <t>Nothing is accepted today</t>
        </is>
      </c>
      <c r="D10" s="29" t="inlineStr">
        <is>
          <t>honest risk position</t>
        </is>
      </c>
      <c r="E10" s="29" t="inlineStr">
        <is>
          <t>OD-30..OD-37</t>
        </is>
      </c>
      <c r="F10" s="29" t="inlineStr">
        <is>
          <t>Open</t>
        </is>
      </c>
      <c r="G10" s="29" t="n"/>
    </row>
    <row r="11" ht="23.85" customHeight="1" s="17">
      <c r="A11" s="29" t="inlineStr">
        <is>
          <t>10</t>
        </is>
      </c>
      <c r="B11" s="29" t="inlineStr">
        <is>
          <t>Sign the three reviewer walkthroughs (TST-REV-03/04/08) or leave them open explicitly</t>
        </is>
      </c>
      <c r="C11" s="29" t="inlineStr">
        <is>
          <t>RT-13</t>
        </is>
      </c>
      <c r="D11" s="29" t="inlineStr">
        <is>
          <t>TEVV PASS</t>
        </is>
      </c>
      <c r="E11" s="29" t="inlineStr">
        <is>
          <t>walkthrough-records.md</t>
        </is>
      </c>
      <c r="F11" s="29" t="inlineStr">
        <is>
          <t>Open</t>
        </is>
      </c>
      <c r="G11" s="29" t="n"/>
    </row>
    <row r="12" ht="23.85" customHeight="1" s="17">
      <c r="A12" s="29" t="inlineStr">
        <is>
          <t>11</t>
        </is>
      </c>
      <c r="B12" s="29" t="inlineStr">
        <is>
          <t>Accept or reject S30-DEV-01 (verify-audit exit 17), the Stage 27 behaviour defaults (A-27-02/04/05), and the Stage 28/31 numeric defaults</t>
        </is>
      </c>
      <c r="C12" s="29" t="inlineStr">
        <is>
          <t>Agent assumptions awaiting a human</t>
        </is>
      </c>
      <c r="D12" s="29" t="inlineStr">
        <is>
          <t>traceability of "approved"</t>
        </is>
      </c>
      <c r="E12" s="29" t="inlineStr">
        <is>
          <t>OD-34..OD-37</t>
        </is>
      </c>
      <c r="F12" s="29" t="inlineStr">
        <is>
          <t>Open</t>
        </is>
      </c>
      <c r="G12" s="29" t="n"/>
    </row>
    <row r="13" ht="15" customHeight="1" s="17">
      <c r="A13" s="29" t="inlineStr">
        <is>
          <t>12</t>
        </is>
      </c>
      <c r="B13" s="29" t="inlineStr">
        <is>
          <t>Install the hardening CI under .github with SHA pins (HAR-07) or record "manual"</t>
        </is>
      </c>
      <c r="C13" s="29" t="inlineStr">
        <is>
          <t>CI absent</t>
        </is>
      </c>
      <c r="D13" s="29" t="inlineStr">
        <is>
          <t>RP-05</t>
        </is>
      </c>
      <c r="E13" s="29" t="inlineStr">
        <is>
          <t>OD-34</t>
        </is>
      </c>
      <c r="F13" s="29" t="inlineStr">
        <is>
          <t>Open</t>
        </is>
      </c>
      <c r="G13" s="29" t="n"/>
    </row>
    <row r="14" ht="23.85" customHeight="1" s="17">
      <c r="A14" s="29" t="inlineStr">
        <is>
          <t>13</t>
        </is>
      </c>
      <c r="B14" s="29" t="inlineStr">
        <is>
          <t>Supply cost inputs for Stage 36 (rate, volumes, reviewer minutes, effort actuals, hosting, toolchain charges, discount rate)</t>
        </is>
      </c>
      <c r="C14" s="29" t="inlineStr">
        <is>
          <t>ROI inputs</t>
        </is>
      </c>
      <c r="D14" s="29" t="inlineStr">
        <is>
          <t>Stage 36 v0.2</t>
        </is>
      </c>
      <c r="E14" s="29" t="inlineStr">
        <is>
          <t>roi-model.md; OD-36</t>
        </is>
      </c>
      <c r="F14" s="29" t="inlineStr">
        <is>
          <t>Open</t>
        </is>
      </c>
      <c r="G14" s="29" t="n"/>
    </row>
    <row r="15" ht="15" customHeight="1" s="17">
      <c r="A15" s="29" t="inlineStr">
        <is>
          <t>14</t>
        </is>
      </c>
      <c r="B15" s="29" t="inlineStr">
        <is>
          <t>Instruct Stages 38 (handover), 41 (retirement), 42 and FINAL (43).</t>
        </is>
      </c>
      <c r="C15" s="29" t="inlineStr">
        <is>
          <t>Not produced</t>
        </is>
      </c>
      <c r="D15" s="29" t="inlineStr">
        <is>
          <t>closure of the engagement</t>
        </is>
      </c>
      <c r="E15" s="29" t="inlineStr">
        <is>
          <t>C-32</t>
        </is>
      </c>
      <c r="F15" s="29" t="inlineStr">
        <is>
          <t>Done 25 Oct (Stage 38 and 41 BLOCKED, 42 CONDITIONAL PASS, FINAL BLOCKED)</t>
        </is>
      </c>
      <c r="G15" s="29" t="inlineStr">
        <is>
          <t>2026-10-25</t>
        </is>
      </c>
    </row>
    <row r="16" ht="15" customHeight="1" s="17">
      <c r="A16" s="32" t="inlineStr">
        <is>
          <t>A</t>
        </is>
      </c>
      <c r="B16" s="32" t="inlineStr">
        <is>
          <t>AI stance: add an advisory OpenAI assistant (A1) on the deterministic core (OD-41)</t>
        </is>
      </c>
      <c r="C16" s="32" t="inlineStr">
        <is>
          <t>Unblocks #6, #17, #24</t>
        </is>
      </c>
      <c r="D16" s="32" t="n"/>
      <c r="E16" s="32" t="inlineStr">
        <is>
          <t>Feasibility matrix F-1</t>
        </is>
      </c>
      <c r="F16" s="32" t="inlineStr">
        <is>
          <t>Decided 25 Oct</t>
        </is>
      </c>
      <c r="G16" s="32" t="inlineStr">
        <is>
          <t>2026-10-25</t>
        </is>
      </c>
    </row>
    <row r="17" ht="15" customHeight="1" s="17">
      <c r="A17" s="32" t="inlineStr">
        <is>
          <t>B</t>
        </is>
      </c>
      <c r="B17" s="32" t="inlineStr">
        <is>
          <t>Birlasoft branding: use the annual-report sample; official template if one exists</t>
        </is>
      </c>
      <c r="C17" s="32" t="inlineStr">
        <is>
          <t>Unblocks #15, #16, #25</t>
        </is>
      </c>
      <c r="D17" s="32" t="n"/>
      <c r="E17" s="32" t="inlineStr">
        <is>
          <t>Feasibility matrix F-4</t>
        </is>
      </c>
      <c r="F17" s="32" t="inlineStr">
        <is>
          <t>Partly met 25 Oct</t>
        </is>
      </c>
      <c r="G17" s="32" t="inlineStr">
        <is>
          <t>2026-10-25</t>
        </is>
      </c>
    </row>
    <row r="18" ht="15" customHeight="1" s="17">
      <c r="A18" s="32" t="inlineStr">
        <is>
          <t>D</t>
        </is>
      </c>
      <c r="B18" s="32" t="inlineStr">
        <is>
          <t>Demo machine and Python version: local machine, Python 3.14</t>
        </is>
      </c>
      <c r="C18" s="32" t="inlineStr">
        <is>
          <t>Unblocks #17</t>
        </is>
      </c>
      <c r="D18" s="32" t="n"/>
      <c r="E18" s="32" t="inlineStr">
        <is>
          <t>User instruction</t>
        </is>
      </c>
      <c r="F18" s="32" t="inlineStr">
        <is>
          <t>Decided 25 Oct</t>
        </is>
      </c>
      <c r="G18" s="32" t="inlineStr">
        <is>
          <t>2026-10-25</t>
        </is>
      </c>
    </row>
    <row r="19" ht="23.85" customHeight="1" s="17">
      <c r="A19" s="32" t="inlineStr">
        <is>
          <t>C</t>
        </is>
      </c>
      <c r="B19" s="32" t="inlineStr">
        <is>
          <t>Define the two applications (App A = hub; App B = regenerated from semantic layer on another model)</t>
        </is>
      </c>
      <c r="C19" s="32" t="inlineStr">
        <is>
          <t>Unblocks #4, #14</t>
        </is>
      </c>
      <c r="D19" s="32" t="n"/>
      <c r="E19" s="32" t="inlineStr">
        <is>
          <t>Feasibility matrix F-2</t>
        </is>
      </c>
      <c r="F19" s="32" t="inlineStr">
        <is>
          <t>Open</t>
        </is>
      </c>
      <c r="G19" s="32" t="n"/>
    </row>
    <row r="20">
      <c r="A20" s="33" t="inlineStr">
        <is>
          <t>E</t>
        </is>
      </c>
      <c r="B20" s="33" t="inlineStr">
        <is>
          <t>AI stance, hub level: add an optional, off-by-default advisory Azure OpenAI document Q&amp;A (OD-40, Stage 44). Enabling it, any real data, and a live Azure test are still yours to decide.</t>
        </is>
      </c>
      <c r="C20" s="33" t="inlineStr">
        <is>
          <t>Answers guideline #24 for the hub itself</t>
        </is>
      </c>
      <c r="D20" s="33" t="inlineStr">
        <is>
          <t>#6, #17, #24</t>
        </is>
      </c>
      <c r="E20" s="33" t="inlineStr">
        <is>
          <t>docs/44-genai-qa/; .fde OD-40</t>
        </is>
      </c>
      <c r="F20" s="33" t="inlineStr">
        <is>
          <t>Decided 26 Oct (built, fake-tested only)</t>
        </is>
      </c>
      <c r="G20" s="33" t="inlineStr">
        <is>
          <t>2026-10-26</t>
        </is>
      </c>
    </row>
    <row r="21">
      <c r="A21" s="33" t="inlineStr">
        <is>
          <t>F</t>
        </is>
      </c>
      <c r="B21" s="33" t="inlineStr">
        <is>
          <t>Command Centre assistant (earlier labelled OD-40 in these files) is now OD-41 to avoid a clash with the repo OD-40.</t>
        </is>
      </c>
      <c r="C21" s="33" t="inlineStr">
        <is>
          <t>Numbering clash</t>
        </is>
      </c>
      <c r="D21" s="33" t="inlineStr">
        <is>
          <t>All AI statements</t>
        </is>
      </c>
      <c r="E21" s="33" t="inlineStr">
        <is>
          <t>Deliverables record of 25 Oct; repo log entry OD-41</t>
        </is>
      </c>
      <c r="F21" s="33" t="inlineStr">
        <is>
          <t>Recorded 26 Oct</t>
        </is>
      </c>
      <c r="G21" s="33" t="inlineStr">
        <is>
          <t>2026-10-26</t>
        </is>
      </c>
    </row>
  </sheetData>
  <autoFilter ref="A1:G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6" min="1" max="1"/>
    <col width="34" customWidth="1" style="16" min="2" max="2"/>
    <col width="26" customWidth="1" style="16" min="3" max="3"/>
    <col width="12" customWidth="1" style="16" min="4" max="4"/>
    <col width="60" customWidth="1" style="16" min="5" max="5"/>
    <col width="55" customWidth="1" style="16" min="6" max="6"/>
    <col width="24" customWidth="1" style="16" min="7" max="7"/>
    <col width="14" customWidth="1" style="16" min="8" max="8"/>
  </cols>
  <sheetData>
    <row r="1" ht="39.55" customHeight="1" s="17">
      <c r="A1" s="28" t="inlineStr">
        <is>
          <t>KPI</t>
        </is>
      </c>
      <c r="B1" s="28" t="inlineStr">
        <is>
          <t>Name</t>
        </is>
      </c>
      <c r="C1" s="28" t="inlineStr">
        <is>
          <t>Definition tag / class</t>
        </is>
      </c>
      <c r="D1" s="28" t="inlineStr">
        <is>
          <t>Computable today</t>
        </is>
      </c>
      <c r="E1" s="28" t="inlineStr">
        <is>
          <t>Baseline (synthetic)</t>
        </is>
      </c>
      <c r="F1" s="28" t="inlineStr">
        <is>
          <t>Hub / after (sandbox)</t>
        </is>
      </c>
      <c r="G1" s="28" t="inlineStr">
        <is>
          <t>Comparability</t>
        </is>
      </c>
      <c r="H1" s="28" t="inlineStr">
        <is>
          <t>Epistemic status</t>
        </is>
      </c>
    </row>
    <row r="2" ht="15" customHeight="1" s="17">
      <c r="A2" s="29" t="inlineStr">
        <is>
          <t>K-01</t>
        </is>
      </c>
      <c r="B2" s="29" t="inlineStr">
        <is>
          <t>Unsafe action count</t>
        </is>
      </c>
      <c r="C2" s="29" t="inlineStr">
        <is>
          <t>invariant_zero_required</t>
        </is>
      </c>
      <c r="D2" s="29" t="inlineStr">
        <is>
          <t>No</t>
        </is>
      </c>
      <c r="E2" s="29" t="inlineStr">
        <is>
          <t>{"value": "unknown"}</t>
        </is>
      </c>
      <c r="F2" s="29" t="n"/>
      <c r="G2" s="29" t="inlineStr">
        <is>
          <t>Unknown</t>
        </is>
      </c>
      <c r="H2" s="29" t="inlineStr">
        <is>
          <t>verified_fact</t>
        </is>
      </c>
    </row>
    <row r="3" ht="15" customHeight="1" s="17">
      <c r="A3" s="29" t="inlineStr">
        <is>
          <t>K-02</t>
        </is>
      </c>
      <c r="B3" s="29" t="inlineStr">
        <is>
          <t>Source attribution rate</t>
        </is>
      </c>
      <c r="C3" s="29" t="inlineStr">
        <is>
          <t>structural_proxy</t>
        </is>
      </c>
      <c r="D3" s="29" t="inlineStr">
        <is>
          <t>Yes</t>
        </is>
      </c>
      <c r="E3" s="29" t="inlineStr">
        <is>
          <t>{"value": 0.0, "unit": "percent", "numerator": 0, "denominator": 20}</t>
        </is>
      </c>
      <c r="F3" s="29" t="n"/>
      <c r="G3" s="29" t="inlineStr">
        <is>
          <t>Baseline only</t>
        </is>
      </c>
      <c r="H3" s="29" t="inlineStr">
        <is>
          <t>verified_fact</t>
        </is>
      </c>
    </row>
    <row r="4" ht="15" customHeight="1" s="17">
      <c r="A4" s="29" t="inlineStr">
        <is>
          <t>K-03</t>
        </is>
      </c>
      <c r="B4" s="29" t="inlineStr">
        <is>
          <t>Definition transparency</t>
        </is>
      </c>
      <c r="C4" s="29" t="inlineStr">
        <is>
          <t>verified_by_inspection</t>
        </is>
      </c>
      <c r="D4" s="29" t="inlineStr">
        <is>
          <t>Yes</t>
        </is>
      </c>
      <c r="E4" s="29" t="inlineStr">
        <is>
          <t>{"value": 0.0, "unit": "percent", "numerator": 0, "denominator": 6}</t>
        </is>
      </c>
      <c r="F4" s="29" t="n"/>
      <c r="G4" s="29" t="inlineStr">
        <is>
          <t>Not like-for-like</t>
        </is>
      </c>
      <c r="H4" s="29" t="inlineStr">
        <is>
          <t>verified_fact</t>
        </is>
      </c>
    </row>
    <row r="5" ht="15" customHeight="1" s="17">
      <c r="A5" s="29" t="inlineStr">
        <is>
          <t>K-04-OPS</t>
        </is>
      </c>
      <c r="B5" s="29" t="inlineStr">
        <is>
          <t>Time to close (D-OPS)</t>
        </is>
      </c>
      <c r="C5" s="29" t="inlineStr">
        <is>
          <t>D-OPS</t>
        </is>
      </c>
      <c r="D5" s="29" t="inlineStr">
        <is>
          <t>No</t>
        </is>
      </c>
      <c r="E5" s="29" t="inlineStr">
        <is>
          <t>{"value": "unknown"}</t>
        </is>
      </c>
      <c r="F5" s="29" t="n"/>
      <c r="G5" s="29" t="inlineStr">
        <is>
          <t>Unknown</t>
        </is>
      </c>
      <c r="H5" s="29" t="inlineStr">
        <is>
          <t>verified_fact</t>
        </is>
      </c>
    </row>
    <row r="6" ht="15" customHeight="1" s="17">
      <c r="A6" s="29" t="inlineStr">
        <is>
          <t>K-04-EVID</t>
        </is>
      </c>
      <c r="B6" s="29" t="inlineStr">
        <is>
          <t>Time to close (D-EVID)</t>
        </is>
      </c>
      <c r="C6" s="29" t="inlineStr">
        <is>
          <t>D-EVID</t>
        </is>
      </c>
      <c r="D6" s="29" t="inlineStr">
        <is>
          <t>No</t>
        </is>
      </c>
      <c r="E6" s="29" t="inlineStr">
        <is>
          <t>{"value": "unknown"}</t>
        </is>
      </c>
      <c r="F6" s="29" t="n"/>
      <c r="G6" s="29" t="inlineStr">
        <is>
          <t>Unknown</t>
        </is>
      </c>
      <c r="H6" s="29" t="inlineStr">
        <is>
          <t>verified_fact</t>
        </is>
      </c>
    </row>
    <row r="7" ht="15" customHeight="1" s="17">
      <c r="A7" s="29" t="inlineStr">
        <is>
          <t>K-04-FIN</t>
        </is>
      </c>
      <c r="B7" s="29" t="inlineStr">
        <is>
          <t>Time to resolved (D-FIN)</t>
        </is>
      </c>
      <c r="C7" s="29" t="inlineStr">
        <is>
          <t>D-FIN</t>
        </is>
      </c>
      <c r="D7" s="29" t="inlineStr">
        <is>
          <t>No</t>
        </is>
      </c>
      <c r="E7" s="29" t="inlineStr">
        <is>
          <t>{"value": "unknown"}</t>
        </is>
      </c>
      <c r="F7" s="29" t="n"/>
      <c r="G7" s="29" t="inlineStr">
        <is>
          <t>Unknown</t>
        </is>
      </c>
      <c r="H7" s="29" t="inlineStr">
        <is>
          <t>unknown</t>
        </is>
      </c>
    </row>
    <row r="8" ht="35.05" customHeight="1" s="17">
      <c r="A8" s="29" t="inlineStr">
        <is>
          <t>K-05</t>
        </is>
      </c>
      <c r="B8" s="29" t="inlineStr">
        <is>
          <t>Time to evidence</t>
        </is>
      </c>
      <c r="C8" s="29" t="inlineStr">
        <is>
          <t>D-EVID</t>
        </is>
      </c>
      <c r="D8" s="29" t="inlineStr">
        <is>
          <t>No</t>
        </is>
      </c>
      <c r="E8" s="29" t="inlineStr">
        <is>
          <t>{"value": "unknown", "proxies": "P-01 median 12.06 h / p90 25.62 h (n=20); P-02 median 2.90 h / p90 4.14 h (n=15). Generator-bounded proxies only."}</t>
        </is>
      </c>
      <c r="F8" s="29" t="n"/>
      <c r="G8" s="29" t="inlineStr">
        <is>
          <t>Unknown</t>
        </is>
      </c>
      <c r="H8" s="29" t="inlineStr">
        <is>
          <t>verified_fact</t>
        </is>
      </c>
    </row>
    <row r="9" ht="35.05" customHeight="1" s="17">
      <c r="A9" s="29" t="inlineStr">
        <is>
          <t>K-06</t>
        </is>
      </c>
      <c r="B9" s="29" t="inlineStr">
        <is>
          <t>Unmatched reference rate</t>
        </is>
      </c>
      <c r="C9" s="29" t="inlineStr">
        <is>
          <t>definition_independent</t>
        </is>
      </c>
      <c r="D9" s="29" t="inlineStr">
        <is>
          <t>Yes</t>
        </is>
      </c>
      <c r="E9" s="29" t="inlineStr">
        <is>
          <t>{"value": 97.98, "unit": "percent", "numerator": 8394, "denominator": 8567, "second_population": "policy_exceptions 99.11 % (222 of 224)", "note": "Generator-shaped residue: treat as method validation only."}</t>
        </is>
      </c>
      <c r="F9" s="29" t="n"/>
      <c r="G9" s="29" t="inlineStr">
        <is>
          <t>Baseline only</t>
        </is>
      </c>
      <c r="H9" s="29" t="inlineStr">
        <is>
          <t>verified_fact</t>
        </is>
      </c>
    </row>
    <row r="10" ht="35.05" customHeight="1" s="17">
      <c r="A10" s="29" t="inlineStr">
        <is>
          <t>K-07</t>
        </is>
      </c>
      <c r="B10" s="29" t="inlineStr">
        <is>
          <t>Replay safety</t>
        </is>
      </c>
      <c r="C10" s="29" t="inlineStr">
        <is>
          <t>invariant_zero_required</t>
        </is>
      </c>
      <c r="D10" s="29" t="inlineStr">
        <is>
          <t>Yes</t>
        </is>
      </c>
      <c r="E10" s="29" t="inlineStr">
        <is>
          <t>{"value": "unknown", "note": "Legacy replay safety untested; 67 REPLAY rows exist."}</t>
        </is>
      </c>
      <c r="F10" s="29" t="inlineStr">
        <is>
          <t>{"value": 0, "note": "Hub verify-replay: re-delivered 8,567 rows, all NOOP_DUPLICATE, queue sizes and totals unchanged (8,516 before and after)."}</t>
        </is>
      </c>
      <c r="G10" s="29" t="inlineStr">
        <is>
          <t>Baseline only</t>
        </is>
      </c>
      <c r="H10" s="29" t="inlineStr">
        <is>
          <t>verified_fact</t>
        </is>
      </c>
    </row>
    <row r="11" ht="23.85" customHeight="1" s="17">
      <c r="A11" s="29" t="inlineStr">
        <is>
          <t>K-08</t>
        </is>
      </c>
      <c r="B11" s="29" t="inlineStr">
        <is>
          <t>Reconciliation delay</t>
        </is>
      </c>
      <c r="C11" s="29" t="inlineStr">
        <is>
          <t>definition_independent</t>
        </is>
      </c>
      <c r="D11" s="29" t="inlineStr">
        <is>
          <t>Yes</t>
        </is>
      </c>
      <c r="E11" s="29" t="inlineStr">
        <is>
          <t>{"median_hours": 0.02, "p90_hours": 168, "within_4h_percent": 75.24, "negative_delay_percent": 26.1}</t>
        </is>
      </c>
      <c r="F11" s="29" t="n"/>
      <c r="G11" s="29" t="inlineStr">
        <is>
          <t>Baseline only</t>
        </is>
      </c>
      <c r="H11" s="29" t="inlineStr">
        <is>
          <t>verified_fact</t>
        </is>
      </c>
    </row>
    <row r="12" ht="35.05" customHeight="1" s="17">
      <c r="A12" s="29" t="inlineStr">
        <is>
          <t>K-09-OPS</t>
        </is>
      </c>
      <c r="B12" s="29" t="inlineStr">
        <is>
          <t>Backlog ageing and count (D-OPS)</t>
        </is>
      </c>
      <c r="C12" s="29" t="inlineStr">
        <is>
          <t>D-OPS</t>
        </is>
      </c>
      <c r="D12" s="29" t="inlineStr">
        <is>
          <t>Yes</t>
        </is>
      </c>
      <c r="E12" s="29" t="inlineStr">
        <is>
          <t>{"value": 89, "denominator": 125, "age_median_days": 565.1, "age_p90_days": 974.2, "by_site": {"BR-SP": 22, "DE-BY": 18, "GB-ENG": 14, "IN-BLR": 10, "JP-KN": 11, "US-TX": 14}}</t>
        </is>
      </c>
      <c r="F12" s="29" t="inlineStr">
        <is>
          <t>{"value": 89, "by_site": {"BR-SP": 22, "DE-BY": 18, "GB-ENG": 14, "IN-BLR": 10, "JP-KN": 11, "US-TX": 14}, "note": "Parity of a snapshot, not an improvement."}</t>
        </is>
      </c>
      <c r="G12" s="29" t="inlineStr">
        <is>
          <t>Parity only, not improvement</t>
        </is>
      </c>
      <c r="H12" s="29" t="inlineStr">
        <is>
          <t>verified_fact</t>
        </is>
      </c>
    </row>
    <row r="13" ht="15" customHeight="1" s="17">
      <c r="A13" s="29" t="inlineStr">
        <is>
          <t>K-09-EVID</t>
        </is>
      </c>
      <c r="B13" s="29" t="inlineStr">
        <is>
          <t>Backlog (D-EVID)</t>
        </is>
      </c>
      <c r="C13" s="29" t="inlineStr">
        <is>
          <t>D-EVID</t>
        </is>
      </c>
      <c r="D13" s="29" t="inlineStr">
        <is>
          <t>No</t>
        </is>
      </c>
      <c r="E13" s="29" t="inlineStr">
        <is>
          <t>{"value": "unknown", "upper_bound": "125 of 125"}</t>
        </is>
      </c>
      <c r="F13" s="29" t="n"/>
      <c r="G13" s="29" t="inlineStr">
        <is>
          <t>Unknown</t>
        </is>
      </c>
      <c r="H13" s="29" t="inlineStr">
        <is>
          <t>verified_fact</t>
        </is>
      </c>
    </row>
    <row r="14" ht="15" customHeight="1" s="17">
      <c r="A14" s="29" t="inlineStr">
        <is>
          <t>K-09-FIN</t>
        </is>
      </c>
      <c r="B14" s="29" t="inlineStr">
        <is>
          <t>Backlog (D-FIN)</t>
        </is>
      </c>
      <c r="C14" s="29" t="inlineStr">
        <is>
          <t>D-FIN</t>
        </is>
      </c>
      <c r="D14" s="29" t="inlineStr">
        <is>
          <t>No</t>
        </is>
      </c>
      <c r="E14" s="29" t="inlineStr">
        <is>
          <t>{"value": "unknown"}</t>
        </is>
      </c>
      <c r="F14" s="29" t="n"/>
      <c r="G14" s="29" t="inlineStr">
        <is>
          <t>Unknown</t>
        </is>
      </c>
      <c r="H14" s="29" t="inlineStr">
        <is>
          <t>unknown</t>
        </is>
      </c>
    </row>
    <row r="15" ht="23.85" customHeight="1" s="17">
      <c r="A15" s="29" t="inlineStr">
        <is>
          <t>K-09U</t>
        </is>
      </c>
      <c r="B15" s="29" t="inlineStr">
        <is>
          <t>Unresolved exception rate</t>
        </is>
      </c>
      <c r="C15" s="29" t="inlineStr">
        <is>
          <t>provisional_meaning_of_WAIVED_BLOCKED_unowned</t>
        </is>
      </c>
      <c r="D15" s="29" t="inlineStr">
        <is>
          <t>Yes</t>
        </is>
      </c>
      <c r="E15" s="29" t="inlineStr">
        <is>
          <t>{"UE-1": {"value": 75.0, "numerator": 168, "denominator": 224}, "UE-2": {"value": 52.2, "numerator": 117, "denominator": 224}}</t>
        </is>
      </c>
      <c r="F15" s="29" t="n"/>
      <c r="G15" s="29" t="inlineStr">
        <is>
          <t>Baseline only</t>
        </is>
      </c>
      <c r="H15" s="29" t="inlineStr">
        <is>
          <t>verified_fact</t>
        </is>
      </c>
    </row>
    <row r="16" ht="23.85" customHeight="1" s="17">
      <c r="A16" s="29" t="inlineStr">
        <is>
          <t>K-10</t>
        </is>
      </c>
      <c r="B16" s="29" t="inlineStr">
        <is>
          <t>Month-end comparability</t>
        </is>
      </c>
      <c r="C16" s="29" t="inlineStr">
        <is>
          <t>definition_dependent_cutoff_unowned</t>
        </is>
      </c>
      <c r="D16" s="29" t="inlineStr">
        <is>
          <t>Yes</t>
        </is>
      </c>
      <c r="E16" s="29" t="inlineStr">
        <is>
          <t>{"value": "8 of 36 months equal", "cases_vs_cost_cases": "125 vs 108", "sum_abs_diff": 51}</t>
        </is>
      </c>
      <c r="F16" s="29" t="n"/>
      <c r="G16" s="29" t="inlineStr">
        <is>
          <t>Baseline only</t>
        </is>
      </c>
      <c r="H16" s="29" t="inlineStr">
        <is>
          <t>verified_fact</t>
        </is>
      </c>
    </row>
    <row r="17" ht="35.05" customHeight="1" s="17">
      <c r="A17" s="29" t="inlineStr">
        <is>
          <t>K-11</t>
        </is>
      </c>
      <c r="B17" s="29" t="inlineStr">
        <is>
          <t>Decision recorded</t>
        </is>
      </c>
      <c r="C17" s="29" t="inlineStr">
        <is>
          <t>governance</t>
        </is>
      </c>
      <c r="D17" s="29" t="inlineStr">
        <is>
          <t>Yes</t>
        </is>
      </c>
      <c r="E17" s="29" t="inlineStr">
        <is>
          <t>{"value": 0, "denominator": 2}</t>
        </is>
      </c>
      <c r="F17" s="29" t="inlineStr">
        <is>
          <t>{"value": 2, "denominator": 2, "note": "Both recorded as 'accepted open' (OD-22). It records that nobody decided; it is not a resolution."}</t>
        </is>
      </c>
      <c r="G17" s="29" t="inlineStr">
        <is>
          <t>Baseline only</t>
        </is>
      </c>
      <c r="H17" s="29" t="inlineStr">
        <is>
          <t>verified_fact</t>
        </is>
      </c>
    </row>
    <row r="18" ht="23.85" customHeight="1" s="17">
      <c r="A18" s="29" t="inlineStr">
        <is>
          <t>K-12</t>
        </is>
      </c>
      <c r="B18" s="29" t="inlineStr">
        <is>
          <t>Handling effort per case</t>
        </is>
      </c>
      <c r="C18" s="29" t="inlineStr">
        <is>
          <t>denominator_is_operating_costs_not_cases</t>
        </is>
      </c>
      <c r="D18" s="29" t="inlineStr">
        <is>
          <t>Yes</t>
        </is>
      </c>
      <c r="E18" s="29" t="inlineStr">
        <is>
          <t>{"value": 0.603}</t>
        </is>
      </c>
      <c r="F18" s="29" t="n"/>
      <c r="G18" s="29" t="inlineStr">
        <is>
          <t>Baseline only</t>
        </is>
      </c>
      <c r="H18" s="29" t="inlineStr">
        <is>
          <t>verified_fact</t>
        </is>
      </c>
    </row>
    <row r="19" ht="15" customHeight="1" s="17">
      <c r="A19" s="29" t="inlineStr">
        <is>
          <t>K-13</t>
        </is>
      </c>
      <c r="B19" s="29" t="inlineStr">
        <is>
          <t>Infrastructure cost per case</t>
        </is>
      </c>
      <c r="C19" s="29" t="inlineStr">
        <is>
          <t>cost_proxy_D-FIN_dependent</t>
        </is>
      </c>
      <c r="D19" s="29" t="inlineStr">
        <is>
          <t>Yes</t>
        </is>
      </c>
      <c r="E19" s="29" t="inlineStr">
        <is>
          <t>{"value": 23.4}</t>
        </is>
      </c>
      <c r="F19" s="29" t="n"/>
      <c r="G19" s="29" t="inlineStr">
        <is>
          <t>Baseline only</t>
        </is>
      </c>
      <c r="H19" s="29" t="inlineStr">
        <is>
          <t>verified_fact</t>
        </is>
      </c>
    </row>
    <row r="20" ht="15" customHeight="1" s="17">
      <c r="A20" s="29" t="inlineStr">
        <is>
          <t>K-14</t>
        </is>
      </c>
      <c r="B20" s="29" t="inlineStr">
        <is>
          <t>Throughput</t>
        </is>
      </c>
      <c r="C20" s="29" t="inlineStr">
        <is>
          <t>definition_independent</t>
        </is>
      </c>
      <c r="D20" s="29" t="inlineStr">
        <is>
          <t>Yes</t>
        </is>
      </c>
      <c r="E20" s="29" t="inlineStr">
        <is>
          <t>{"value": 3.47, "window": "2023-01..2025-12"}</t>
        </is>
      </c>
      <c r="F20" s="29" t="n"/>
      <c r="G20" s="29" t="inlineStr">
        <is>
          <t>Baseline only</t>
        </is>
      </c>
      <c r="H20" s="29" t="inlineStr">
        <is>
          <t>verified_fact</t>
        </is>
      </c>
    </row>
    <row r="21" ht="15" customHeight="1" s="17">
      <c r="A21" s="29" t="inlineStr">
        <is>
          <t>K-15</t>
        </is>
      </c>
      <c r="B21" s="29" t="inlineStr">
        <is>
          <t>Rework (reopen) rate</t>
        </is>
      </c>
      <c r="C21" s="29" t="inlineStr">
        <is>
          <t>snapshot_proxy</t>
        </is>
      </c>
      <c r="D21" s="29" t="inlineStr">
        <is>
          <t>Yes</t>
        </is>
      </c>
      <c r="E21" s="29" t="inlineStr">
        <is>
          <t>{"value": 6.4, "numerator": 8, "denominator": 125}</t>
        </is>
      </c>
      <c r="F21" s="29" t="n"/>
      <c r="G21" s="29" t="inlineStr">
        <is>
          <t>Baseline only</t>
        </is>
      </c>
      <c r="H21" s="29" t="inlineStr">
        <is>
          <t>verified_fact</t>
        </is>
      </c>
    </row>
    <row r="22" ht="15" customHeight="1" s="17">
      <c r="A22" s="29" t="inlineStr">
        <is>
          <t>K-16</t>
        </is>
      </c>
      <c r="B22" s="29" t="inlineStr">
        <is>
          <t>Manual-review share (by code rule)</t>
        </is>
      </c>
      <c r="C22" s="29" t="inlineStr">
        <is>
          <t>rule_derived</t>
        </is>
      </c>
      <c r="D22" s="29" t="inlineStr">
        <is>
          <t>Yes</t>
        </is>
      </c>
      <c r="E22" s="29" t="inlineStr">
        <is>
          <t>{"value": 23.2, "numerator": 29, "denominator": 125}</t>
        </is>
      </c>
      <c r="F22" s="29" t="n"/>
      <c r="G22" s="29" t="inlineStr">
        <is>
          <t>Baseline only</t>
        </is>
      </c>
      <c r="H22" s="29" t="inlineStr">
        <is>
          <t>verified_fact</t>
        </is>
      </c>
    </row>
    <row r="23" ht="15" customHeight="1" s="17">
      <c r="A23" s="29" t="inlineStr">
        <is>
          <t>K-17</t>
        </is>
      </c>
      <c r="B23" s="29" t="inlineStr">
        <is>
          <t>Deviations closed without root cause</t>
        </is>
      </c>
      <c r="C23" s="29" t="inlineStr">
        <is>
          <t>quality</t>
        </is>
      </c>
      <c r="D23" s="29" t="inlineStr">
        <is>
          <t>Yes</t>
        </is>
      </c>
      <c r="E23" s="29" t="inlineStr">
        <is>
          <t>{"value": 66.7, "numerator": 8, "denominator": 12}</t>
        </is>
      </c>
      <c r="F23" s="29" t="n"/>
      <c r="G23" s="29" t="inlineStr">
        <is>
          <t>Baseline only</t>
        </is>
      </c>
      <c r="H23" s="29" t="inlineStr">
        <is>
          <t>verified_fact</t>
        </is>
      </c>
    </row>
    <row r="24" ht="15" customHeight="1" s="17">
      <c r="A24" s="29" t="inlineStr">
        <is>
          <t>K-18</t>
        </is>
      </c>
      <c r="B24" s="29" t="inlineStr">
        <is>
          <t>CAPA overdue share</t>
        </is>
      </c>
      <c r="C24" s="29" t="inlineStr">
        <is>
          <t>quality</t>
        </is>
      </c>
      <c r="D24" s="29" t="inlineStr">
        <is>
          <t>Yes</t>
        </is>
      </c>
      <c r="E24" s="29" t="inlineStr">
        <is>
          <t>{"value": 46.2, "numerator": 6, "denominator": 13}</t>
        </is>
      </c>
      <c r="F24" s="29" t="n"/>
      <c r="G24" s="29" t="inlineStr">
        <is>
          <t>Baseline only</t>
        </is>
      </c>
      <c r="H24" s="29" t="inlineStr">
        <is>
          <t>verified_fact</t>
        </is>
      </c>
    </row>
    <row r="25" ht="23.85" customHeight="1" s="17">
      <c r="A25" s="29" t="inlineStr">
        <is>
          <t>K-19</t>
        </is>
      </c>
      <c r="B25" s="29" t="inlineStr">
        <is>
          <t>Batch-run rejection / failure</t>
        </is>
      </c>
      <c r="C25" s="29" t="inlineStr">
        <is>
          <t>error</t>
        </is>
      </c>
      <c r="D25" s="29" t="inlineStr">
        <is>
          <t>Yes</t>
        </is>
      </c>
      <c r="E25" s="29" t="inlineStr">
        <is>
          <t>{"value": "see Stage 4 baseline sheet", "population": "60 runs, 2021-01..2024"}</t>
        </is>
      </c>
      <c r="F25" s="29" t="n"/>
      <c r="G25" s="29" t="inlineStr">
        <is>
          <t>Baseline only</t>
        </is>
      </c>
      <c r="H25" s="29" t="inlineStr">
        <is>
          <t>verified_fact</t>
        </is>
      </c>
    </row>
    <row r="26" ht="23.85" customHeight="1" s="17">
      <c r="A26" s="29" t="inlineStr">
        <is>
          <t>K-20</t>
        </is>
      </c>
      <c r="B26" s="29" t="inlineStr">
        <is>
          <t>Upstream outage MTTR and open outages</t>
        </is>
      </c>
      <c r="C26" s="29" t="inlineStr">
        <is>
          <t>reliability</t>
        </is>
      </c>
      <c r="D26" s="29" t="inlineStr">
        <is>
          <t>Yes</t>
        </is>
      </c>
      <c r="E26" s="29" t="inlineStr">
        <is>
          <t>{"value": "see Stage 4 baseline sheet", "population": "72 incidents, 2021-01-01..2024-04-22"}</t>
        </is>
      </c>
      <c r="F26" s="29" t="n"/>
      <c r="G26" s="29" t="inlineStr">
        <is>
          <t>Baseline only</t>
        </is>
      </c>
      <c r="H26" s="29" t="inlineStr">
        <is>
          <t>verified_fact</t>
        </is>
      </c>
    </row>
    <row r="27" ht="23.85" customHeight="1" s="17">
      <c r="A27" s="29" t="inlineStr">
        <is>
          <t>K-21</t>
        </is>
      </c>
      <c r="B27" s="29" t="inlineStr">
        <is>
          <t>Adoption</t>
        </is>
      </c>
      <c r="C27" s="29" t="inlineStr">
        <is>
          <t>not_measurable_pre_intervention</t>
        </is>
      </c>
      <c r="D27" s="29" t="inlineStr">
        <is>
          <t>No</t>
        </is>
      </c>
      <c r="E27" s="29" t="inlineStr">
        <is>
          <t>{"value": 0, "numerator": 0, "denominator": 125, "note": "No production use exists."}</t>
        </is>
      </c>
      <c r="F27" s="29" t="n"/>
      <c r="G27" s="29" t="inlineStr">
        <is>
          <t>Unknown</t>
        </is>
      </c>
      <c r="H27" s="29" t="inlineStr">
        <is>
          <t>verified_fact</t>
        </is>
      </c>
    </row>
    <row r="28" ht="15" customHeight="1" s="17">
      <c r="A28" s="29" t="inlineStr">
        <is>
          <t>K-22</t>
        </is>
      </c>
      <c r="B28" s="29" t="inlineStr">
        <is>
          <t>Rework effort</t>
        </is>
      </c>
      <c r="C28" s="29" t="n"/>
      <c r="D28" s="29" t="inlineStr">
        <is>
          <t>No</t>
        </is>
      </c>
      <c r="E28" s="29" t="inlineStr">
        <is>
          <t>{"value": "unknown", "note": "No rework time capture exists (LL-14)."}</t>
        </is>
      </c>
      <c r="F28" s="29" t="n"/>
      <c r="G28" s="29" t="inlineStr">
        <is>
          <t>Unknown</t>
        </is>
      </c>
      <c r="H28" s="29" t="inlineStr">
        <is>
          <t>unknown</t>
        </is>
      </c>
    </row>
  </sheetData>
  <autoFilter ref="A1:H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6" min="1" max="1"/>
    <col width="80" customWidth="1" style="16" min="2" max="2"/>
    <col width="36" customWidth="1" style="16" min="3" max="3"/>
    <col width="40" customWidth="1" style="16" min="4" max="4"/>
    <col width="14" customWidth="1" style="16" min="5" max="5"/>
  </cols>
  <sheetData>
    <row r="1" ht="15" customHeight="1" s="17">
      <c r="A1" s="28" t="inlineStr">
        <is>
          <t>ID</t>
        </is>
      </c>
      <c r="B1" s="28" t="inlineStr">
        <is>
          <t>Lesson / what happened</t>
        </is>
      </c>
      <c r="C1" s="28" t="inlineStr">
        <is>
          <t>Evidence</t>
        </is>
      </c>
      <c r="D1" s="28" t="inlineStr">
        <is>
          <t>Class / implication</t>
        </is>
      </c>
      <c r="E1" s="28" t="inlineStr">
        <is>
          <t>Type</t>
        </is>
      </c>
    </row>
    <row r="2" ht="23.85" customHeight="1" s="17">
      <c r="A2" s="29" t="inlineStr">
        <is>
          <t>LL-01</t>
        </is>
      </c>
      <c r="B2" s="29" t="inlineStr">
        <is>
          <t>Independent full regression before merge catches what build agents miss. Four late defects (S21-DEV-02, S24-DEV-05, S28-DEV-08, S31-DEV-08) were found by the orchestrator, not the author.</t>
        </is>
      </c>
      <c r="C2" s="29" t="inlineStr">
        <is>
          <t>OD-28, OD-32, OD-35, OD-36</t>
        </is>
      </c>
      <c r="D2" s="29" t="inlineStr">
        <is>
          <t>[Verified Fact]</t>
        </is>
      </c>
      <c r="E2" s="29" t="inlineStr">
        <is>
          <t>worked</t>
        </is>
      </c>
    </row>
    <row r="3" ht="23.85" customHeight="1" s="17">
      <c r="A3" s="29" t="inlineStr">
        <is>
          <t>LL-02</t>
        </is>
      </c>
      <c r="B3" s="29" t="inlineStr">
        <is>
          <t>Declare thresholds before results and never edit them after. TEVV committed thresholds first (a42ffe6) and disclosed one earlier baseline run.</t>
        </is>
      </c>
      <c r="C3" s="29" t="inlineStr">
        <is>
          <t>tevv-results.md TR-0</t>
        </is>
      </c>
      <c r="D3" s="29" t="inlineStr">
        <is>
          <t>[Verified Fact]</t>
        </is>
      </c>
      <c r="E3" s="29" t="inlineStr">
        <is>
          <t>worked</t>
        </is>
      </c>
    </row>
    <row r="4" ht="23.85" customHeight="1" s="17">
      <c r="A4" s="29" t="inlineStr">
        <is>
          <t>LL-03</t>
        </is>
      </c>
      <c r="B4" s="29" t="inlineStr">
        <is>
          <t>Sandbox-only execution with a checksum gate (OD-03a) protected the baseline across the whole engagement: rc 0 before and after every run.</t>
        </is>
      </c>
      <c r="C4" s="29" t="inlineStr">
        <is>
          <t>OD-03, OD-03a; Stage 16/26</t>
        </is>
      </c>
      <c r="D4" s="29" t="inlineStr">
        <is>
          <t>[Verified Fact]</t>
        </is>
      </c>
      <c r="E4" s="29" t="inlineStr">
        <is>
          <t>worked</t>
        </is>
      </c>
    </row>
    <row r="5" ht="23.85" customHeight="1" s="17">
      <c r="A5" s="29" t="inlineStr">
        <is>
          <t>LL-04</t>
        </is>
      </c>
      <c r="B5" s="29" t="inlineStr">
        <is>
          <t>Safe defaults: everything consequential ships off. No cutover, holder, rule set or schedule could activate by accident.</t>
        </is>
      </c>
      <c r="C5" s="29" t="inlineStr">
        <is>
          <t>implementation-prd.md</t>
        </is>
      </c>
      <c r="D5" s="29" t="inlineStr">
        <is>
          <t>[Verified Fact]</t>
        </is>
      </c>
      <c r="E5" s="29" t="inlineStr">
        <is>
          <t>worked</t>
        </is>
      </c>
    </row>
    <row r="6" ht="23.85" customHeight="1" s="17">
      <c r="A6" s="29" t="inlineStr">
        <is>
          <t>LL-05</t>
        </is>
      </c>
      <c r="B6" s="29" t="inlineStr">
        <is>
          <t>Characterisation before refactor. The harness (134/134) and mutation gate (15/15 vs the shipped suite's 1/15) made behaviour change visible.</t>
        </is>
      </c>
      <c r="C6" s="29" t="inlineStr">
        <is>
          <t>Stage 15/16</t>
        </is>
      </c>
      <c r="D6" s="29" t="inlineStr">
        <is>
          <t>[Verified Fact]</t>
        </is>
      </c>
      <c r="E6" s="29" t="inlineStr">
        <is>
          <t>worked</t>
        </is>
      </c>
    </row>
    <row r="7" ht="23.85" customHeight="1" s="17">
      <c r="A7" s="29" t="inlineStr">
        <is>
          <t>LL-06</t>
        </is>
      </c>
      <c r="B7" s="29" t="inlineStr">
        <is>
          <t>Refusing to compute. Stage 36 refused ROI/NPV/payback rather than invent inputs; Stage 34 refused to call parity an improvement.</t>
        </is>
      </c>
      <c r="C7" s="29" t="inlineStr">
        <is>
          <t>Stages 34-36</t>
        </is>
      </c>
      <c r="D7" s="29" t="inlineStr">
        <is>
          <t>[Verified Fact]</t>
        </is>
      </c>
      <c r="E7" s="29" t="inlineStr">
        <is>
          <t>worked</t>
        </is>
      </c>
    </row>
    <row r="8" ht="23.85" customHeight="1" s="17">
      <c r="A8" s="29" t="inlineStr">
        <is>
          <t>LL-07</t>
        </is>
      </c>
      <c r="B8" s="29" t="inlineStr">
        <is>
          <t>Qualifying AI out. The No-AI decision was argued from root causes, with re-qualification triggers instead of a closed door.</t>
        </is>
      </c>
      <c r="C8" s="29" t="inlineStr">
        <is>
          <t>Stage 8</t>
        </is>
      </c>
      <c r="D8" s="29" t="inlineStr">
        <is>
          <t>[Verified Fact]</t>
        </is>
      </c>
      <c r="E8" s="29" t="inlineStr">
        <is>
          <t>worked</t>
        </is>
      </c>
    </row>
    <row r="9" ht="35.05" customHeight="1" s="17">
      <c r="A9" s="29" t="inlineStr">
        <is>
          <t>LL-08</t>
        </is>
      </c>
      <c r="B9" s="29" t="inlineStr">
        <is>
          <t>The baseline was synthetic and partly residue. 97.98 % of feed rows reference cases not in the database; no closure/evidence/effort timestamps exist; A-04-01 was refuted a stage later. Many KPIs ended Unknown.</t>
        </is>
      </c>
      <c r="C9" s="29" t="inlineStr">
        <is>
          <t>baseline-kpi-sheet.md; OD-07</t>
        </is>
      </c>
      <c r="D9" s="29" t="n"/>
      <c r="E9" s="29" t="inlineStr">
        <is>
          <t>did not work</t>
        </is>
      </c>
    </row>
    <row r="10" ht="23.85" customHeight="1" s="17">
      <c r="A10" s="29" t="inlineStr">
        <is>
          <t>LL-09</t>
        </is>
      </c>
      <c r="B10" s="29" t="inlineStr">
        <is>
          <t>Value was never quantified at framing. All five drivers stayed unquantified; Stage 36 had nothing to compute.</t>
        </is>
      </c>
      <c r="C10" s="29" t="inlineStr">
        <is>
          <t>value-hypothesis.md; benefit-assumptions.md</t>
        </is>
      </c>
      <c r="D10" s="29" t="n"/>
      <c r="E10" s="29" t="inlineStr">
        <is>
          <t>did not work</t>
        </is>
      </c>
    </row>
    <row r="11" ht="23.85" customHeight="1" s="17">
      <c r="A11" s="29" t="inlineStr">
        <is>
          <t>LL-10</t>
        </is>
      </c>
      <c r="B11" s="29" t="inlineStr">
        <is>
          <t>No stakeholders existed. Every owner field says Dinesh; separation of duties is procedural; roles are VACANT.</t>
        </is>
      </c>
      <c r="C11" s="29" t="inlineStr">
        <is>
          <t>OD-04; raci.md</t>
        </is>
      </c>
      <c r="D11" s="29" t="n"/>
      <c r="E11" s="29" t="inlineStr">
        <is>
          <t>did not work</t>
        </is>
      </c>
    </row>
    <row r="12" ht="23.85" customHeight="1" s="17">
      <c r="A12" s="29" t="inlineStr">
        <is>
          <t>LL-11</t>
        </is>
      </c>
      <c r="B12" s="29" t="inlineStr">
        <is>
          <t>Decisions pile up at one desk. Dozens of D-xx items, 40 approvals, unsigned walkthroughs; OD-32 default-answer authority helped scope but could not approve risk, holders or cutover.</t>
        </is>
      </c>
      <c r="C12" s="29" t="inlineStr">
        <is>
          <t>OD-32..OD-37</t>
        </is>
      </c>
      <c r="D12" s="29" t="n"/>
      <c r="E12" s="29" t="inlineStr">
        <is>
          <t>did not work</t>
        </is>
      </c>
    </row>
    <row r="13" ht="23.85" customHeight="1" s="17">
      <c r="A13" s="29" t="inlineStr">
        <is>
          <t>LL-12</t>
        </is>
      </c>
      <c r="B13" s="29" t="inlineStr">
        <is>
          <t>Control built, not wired. Resilience mechanisms, CI hardening workflow and observability exports exist but do not run in the serve path. Protection on paper.</t>
        </is>
      </c>
      <c r="C13" s="29" t="inlineStr">
        <is>
          <t>OD-34, OD-35, OD-36; VL-04, VL-05</t>
        </is>
      </c>
      <c r="D13" s="29" t="n"/>
      <c r="E13" s="29" t="inlineStr">
        <is>
          <t>did not work</t>
        </is>
      </c>
    </row>
    <row r="14" ht="23.85" customHeight="1" s="17">
      <c r="A14" s="29" t="inlineStr">
        <is>
          <t>LL-13</t>
        </is>
      </c>
      <c r="B14" s="29" t="inlineStr">
        <is>
          <t>"Test once" has a cost. It pushed defects to the merge-time regression and long group walls (S26 145 s, E26 174 s of a 180 s cap; full pass 2,403 s).</t>
        </is>
      </c>
      <c r="C14" s="29" t="inlineStr">
        <is>
          <t>tevv-results.md; token-leakage-analysis.md TL-03</t>
        </is>
      </c>
      <c r="D14" s="29" t="n"/>
      <c r="E14" s="29" t="inlineStr">
        <is>
          <t>did not work</t>
        </is>
      </c>
    </row>
    <row r="15" ht="15" customHeight="1" s="17">
      <c r="A15" s="29" t="inlineStr">
        <is>
          <t>LL-14</t>
        </is>
      </c>
      <c r="B15" s="29" t="inlineStr">
        <is>
          <t>Rework effort was not recorded. We know defects happened; not what they cost.</t>
        </is>
      </c>
      <c r="C15" s="29" t="inlineStr">
        <is>
          <t>VL-15, VL-17</t>
        </is>
      </c>
      <c r="D15" s="29" t="n"/>
      <c r="E15" s="29" t="inlineStr">
        <is>
          <t>did not work</t>
        </is>
      </c>
    </row>
    <row r="16" ht="35.05" customHeight="1" s="17">
      <c r="A16" s="29" t="inlineStr">
        <is>
          <t>LL-15</t>
        </is>
      </c>
      <c r="B16" s="29" t="inlineStr">
        <is>
          <t>Documents drifted from code and from each other. FR counts 43/9 vs 41/11; ADR-018 vs pyproject; 28-resilience vs 28-reliability; Stage 25 matrix stale after Stages 23/24; Stage 4 sheet not updated for A-04-01.</t>
        </is>
      </c>
      <c r="C16" s="29" t="inlineStr">
        <is>
          <t>OD-10; knowledge-drift-metrics.md; RP-10</t>
        </is>
      </c>
      <c r="D16" s="29" t="n"/>
      <c r="E16" s="29" t="inlineStr">
        <is>
          <t>did not work</t>
        </is>
      </c>
    </row>
    <row r="17" ht="23.85" customHeight="1" s="17">
      <c r="A17" s="29" t="inlineStr">
        <is>
          <t>LL-16</t>
        </is>
      </c>
      <c r="B17" s="29" t="inlineStr">
        <is>
          <t>Prompt/path mismatches (stage prompt paths vs repo folders) cost time and had to be recorded as deviations.</t>
        </is>
      </c>
      <c r="C17" s="29" t="inlineStr">
        <is>
          <t>S28-DEV-05; Stage 42 deviation</t>
        </is>
      </c>
      <c r="D17" s="29" t="n"/>
      <c r="E17" s="29" t="inlineStr">
        <is>
          <t>did not work</t>
        </is>
      </c>
    </row>
    <row r="18" ht="23.85" customHeight="1" s="17">
      <c r="A18" s="29" t="inlineStr">
        <is>
          <t>LL-17</t>
        </is>
      </c>
      <c r="B18" s="29" t="inlineStr">
        <is>
          <t>Severity and thresholds were agent-assigned. High/Medium ratings and SLO numbers are agent inference/assumptions, easy to mistake for approved.</t>
        </is>
      </c>
      <c r="C18" s="29" t="inlineStr">
        <is>
          <t>OD-33, OD-36</t>
        </is>
      </c>
      <c r="D18" s="29" t="n"/>
      <c r="E18" s="29" t="inlineStr">
        <is>
          <t>did not work</t>
        </is>
      </c>
    </row>
    <row r="19" ht="15" customHeight="1" s="17">
      <c r="A19" s="29" t="inlineStr">
        <is>
          <t>LL-18</t>
        </is>
      </c>
      <c r="B19" s="29" t="inlineStr">
        <is>
          <t>Environment drift hit tests: Node patch version (CT-13), Python 3.10 vs 3.13 goldens.</t>
        </is>
      </c>
      <c r="C19" s="29" t="inlineStr">
        <is>
          <t>S24-DEV-04; OD-23</t>
        </is>
      </c>
      <c r="D19" s="29" t="n"/>
      <c r="E19" s="29" t="inlineStr">
        <is>
          <t>did not work</t>
        </is>
      </c>
    </row>
  </sheetData>
  <autoFilter ref="A1:E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6" min="1" max="1"/>
    <col width="40" customWidth="1" style="16" min="2" max="2"/>
    <col width="100" customWidth="1" style="16" min="3" max="3"/>
    <col width="14" customWidth="1" style="16" min="4" max="4"/>
  </cols>
  <sheetData>
    <row r="1" ht="15" customHeight="1" s="17">
      <c r="A1" s="28" t="inlineStr">
        <is>
          <t>#</t>
        </is>
      </c>
      <c r="B1" s="28" t="inlineStr">
        <is>
          <t>Question</t>
        </is>
      </c>
      <c r="C1" s="28" t="inlineStr">
        <is>
          <t>Defensible answer</t>
        </is>
      </c>
      <c r="D1" s="28" t="inlineStr">
        <is>
          <t>Basis</t>
        </is>
      </c>
    </row>
    <row r="2" ht="23.85" customHeight="1" s="17">
      <c r="A2" s="29" t="inlineStr">
        <is>
          <t>Q1</t>
        </is>
      </c>
      <c r="B2" s="29" t="inlineStr">
        <is>
          <t>What is the ROI?</t>
        </is>
      </c>
      <c r="C2" s="29" t="inlineStr">
        <is>
          <t>Not computable. There are zero verified benefits, one of ten cost terms is measured (model spend USD 0 by design), and no discount rate exists. We will not offer a number.</t>
        </is>
      </c>
      <c r="D2" s="29" t="inlineStr">
        <is>
          <t>C-25</t>
        </is>
      </c>
    </row>
    <row r="3" ht="23.85" customHeight="1" s="17">
      <c r="A3" s="29" t="inlineStr">
        <is>
          <t>Q2</t>
        </is>
      </c>
      <c r="B3" s="29" t="inlineStr">
        <is>
          <t>How much time or money does it save?</t>
        </is>
      </c>
      <c r="C3" s="29" t="inlineStr">
        <is>
          <t>Unknown, not yet measured. There is no after-window, no time capture, no labour rate and no volume. The only hours-per-case figure (0.603) is a generator estimate.</t>
        </is>
      </c>
      <c r="D3" s="29" t="inlineStr">
        <is>
          <t>C-21, C-26, C-03</t>
        </is>
      </c>
    </row>
    <row r="4" ht="15" customHeight="1" s="17">
      <c r="A4" s="29" t="inlineStr">
        <is>
          <t>Q3</t>
        </is>
      </c>
      <c r="B4" s="29" t="inlineStr">
        <is>
          <t>Who is using it?</t>
        </is>
      </c>
      <c r="C4" s="29" t="inlineStr">
        <is>
          <t>Nobody. Adoption is 0 of 125 cases and there are 0 principals. It runs only in a sandbox.</t>
        </is>
      </c>
      <c r="D4" s="29" t="inlineStr">
        <is>
          <t>C-21</t>
        </is>
      </c>
    </row>
    <row r="5" ht="23.85" customHeight="1" s="17">
      <c r="A5" s="29" t="inlineStr">
        <is>
          <t>Q4</t>
        </is>
      </c>
      <c r="B5" s="29" t="inlineStr">
        <is>
          <t>Why is it not live?</t>
        </is>
      </c>
      <c r="C5" s="29" t="inlineStr">
        <is>
          <t>The release gate is BLOCKED by design: 0 of 40 required human approvals, golden comparison fails until 11 behaviour differences are decided, monitoring has no persisted metrics or alerts, and High findings lack recorded decisions.</t>
        </is>
      </c>
      <c r="D5" s="29" t="inlineStr">
        <is>
          <t>C-19</t>
        </is>
      </c>
    </row>
    <row r="6" ht="23.85" customHeight="1" s="17">
      <c r="A6" s="29" t="inlineStr">
        <is>
          <t>Q5</t>
        </is>
      </c>
      <c r="B6" s="29" t="inlineStr">
        <is>
          <t>The dashboards say parity. Is that good?</t>
        </is>
      </c>
      <c r="C6" s="29" t="inlineStr">
        <is>
          <t>Parity means the hub reproduces the legacy count from an imported copy of the same data. It is not improvement. We claim no improvement.</t>
        </is>
      </c>
      <c r="D6" s="29" t="inlineStr">
        <is>
          <t>C-22</t>
        </is>
      </c>
    </row>
    <row r="7" ht="23.85" customHeight="1" s="17">
      <c r="A7" s="29" t="inlineStr">
        <is>
          <t>Q6</t>
        </is>
      </c>
      <c r="B7" s="29" t="inlineStr">
        <is>
          <t>Are the baseline numbers real?</t>
        </is>
      </c>
      <c r="C7" s="29" t="inlineStr">
        <is>
          <t>No. They are measured on a synthetic, test-residue database. 97.98 % of partner-feed rows reference cases that do not exist in it. They validate the method only.</t>
        </is>
      </c>
      <c r="D7" s="29" t="inlineStr">
        <is>
          <t>C-03</t>
        </is>
      </c>
    </row>
    <row r="8" ht="35.05" customHeight="1" s="17">
      <c r="A8" s="29" t="inlineStr">
        <is>
          <t>Q7</t>
        </is>
      </c>
      <c r="B8" s="29" t="inlineStr">
        <is>
          <t>Why no AI? Is that a failure of ambition?</t>
        </is>
      </c>
      <c r="C8" s="29" t="inlineStr">
        <is>
          <t>The root causes are missing owners, keys and records; AI cannot supply an owner, and an LLM consumer adds an injection risk (86 feed rows and 22 of 1,200 documents carry instruction-like strings). AI can be re-qualified through RQ-1..RQ-3 if real documents and a measured keyword-search shortfall appear.</t>
        </is>
      </c>
      <c r="D8" s="29" t="inlineStr">
        <is>
          <t>C-05</t>
        </is>
      </c>
    </row>
    <row r="9" ht="23.85" customHeight="1" s="17">
      <c r="A9" s="29" t="inlineStr">
        <is>
          <t>Q8</t>
        </is>
      </c>
      <c r="B9" s="29" t="inlineStr">
        <is>
          <t>Is it GxP / Part 11 compliant?</t>
        </is>
      </c>
      <c r="C9" s="29" t="inlineStr">
        <is>
          <t>We make no compliance claim. Part 11 is framing only; no regulation clause or auditor requirement beyond what earlier stages cite was added.</t>
        </is>
      </c>
      <c r="D9" s="29" t="inlineStr">
        <is>
          <t>C-28</t>
        </is>
      </c>
    </row>
    <row r="10" ht="23.85" customHeight="1" s="17">
      <c r="A10" s="29" t="inlineStr">
        <is>
          <t>Q9</t>
        </is>
      </c>
      <c r="B10" s="29" t="inlineStr">
        <is>
          <t>Is it secure?</t>
        </is>
      </c>
      <c r="C10" s="29" t="inlineStr">
        <is>
          <t>Secure enough for synthetic data on loopback in shadow mode, no more. No TLS, single-factor passwords, 16 residual risks open, no external penetration test. It must not take real data or network exposure yet.</t>
        </is>
      </c>
      <c r="D10" s="29" t="inlineStr">
        <is>
          <t>C-13</t>
        </is>
      </c>
    </row>
    <row r="11" ht="35.05" customHeight="1" s="17">
      <c r="A11" s="29" t="inlineStr">
        <is>
          <t>Q10</t>
        </is>
      </c>
      <c r="B11" s="29" t="inlineStr">
        <is>
          <t>What did testing find?</t>
        </is>
      </c>
      <c r="C11" s="29" t="inlineStr">
        <is>
          <t>11 findings, one High; seven fixed in Stage 27, three test gaps closed (the three surviving mutants were killed: 13 of 13), one open plus nine complex functions. Mutation sampling covers only 13 chosen mutants. Reviewer walkthroughs are unsigned.</t>
        </is>
      </c>
      <c r="D11" s="29" t="inlineStr">
        <is>
          <t>C-14, C-15</t>
        </is>
      </c>
    </row>
    <row r="12" ht="23.85" customHeight="1" s="17">
      <c r="A12" s="29" t="inlineStr">
        <is>
          <t>Q11</t>
        </is>
      </c>
      <c r="B12" s="29" t="inlineStr">
        <is>
          <t>Who owns it after you leave?</t>
        </is>
      </c>
      <c r="C12" s="29" t="inlineStr">
        <is>
          <t>No one yet. 0 of 28 assets have an accepted owner; 17 of 24 accountable roles are vacant; Dinesh is interim owner of record, not an accepting owner.</t>
        </is>
      </c>
      <c r="D12" s="29" t="inlineStr">
        <is>
          <t>C-27</t>
        </is>
      </c>
    </row>
    <row r="13" ht="15" customHeight="1" s="17">
      <c r="A13" s="29" t="inlineStr">
        <is>
          <t>Q12</t>
        </is>
      </c>
      <c r="B13" s="29" t="inlineStr">
        <is>
          <t>What if Dinesh is unavailable?</t>
        </is>
      </c>
      <c r="C13" s="29" t="inlineStr">
        <is>
          <t>Single point of failure and single approver. This is a recorded risk (RP-01, DQ-17); no second reviewer is appointed.</t>
        </is>
      </c>
      <c r="D13" s="29" t="inlineStr">
        <is>
          <t>C-27, C-28</t>
        </is>
      </c>
    </row>
    <row r="14" ht="35.05" customHeight="1" s="17">
      <c r="A14" s="29" t="inlineStr">
        <is>
          <t>Q13</t>
        </is>
      </c>
      <c r="B14" s="29" t="inlineStr">
        <is>
          <t>What does it cost?</t>
        </is>
      </c>
      <c r="C14" s="29" t="inlineStr">
        <is>
          <t>Unknown. Only assumption ranges exist (gross 3-year, USD 7,920-22,800 for the deterministic scenario, 13,440-39,000 for the larger one), built on an unvalidated USD 300/day rate and excluding toolchain, oversight, validation, exit, parallel-running and adoption costs.</t>
        </is>
      </c>
      <c r="D14" s="29" t="inlineStr">
        <is>
          <t>C-25</t>
        </is>
      </c>
    </row>
    <row r="15" ht="23.85" customHeight="1" s="17">
      <c r="A15" s="29" t="inlineStr">
        <is>
          <t>Q14</t>
        </is>
      </c>
      <c r="B15" s="29" t="inlineStr">
        <is>
          <t>Could the build have gone wrong silently?</t>
        </is>
      </c>
      <c r="C15" s="29" t="inlineStr">
        <is>
          <t>It went wrong several times and was caught: four late-found defects in the orchestrator's full regression, one a real No-AI violation in a test helper. The control worked; the rework hours were not recorded.</t>
        </is>
      </c>
      <c r="D15" s="29" t="inlineStr">
        <is>
          <t>C-31</t>
        </is>
      </c>
    </row>
    <row r="16" ht="23.85" customHeight="1" s="17">
      <c r="A16" s="29" t="inlineStr">
        <is>
          <t>Q15</t>
        </is>
      </c>
      <c r="B16" s="29" t="inlineStr">
        <is>
          <t>Does it still behave like the legacy system?</t>
        </is>
      </c>
      <c r="C16" s="29" t="inlineStr">
        <is>
          <t>Yes where tested: characterisation 134/134 at Stage 16, 15/15 mutants killed, 0 unexplained differences; 11 differences are deliberate and unapproved. CT-13 fails only on a Node patch-version drift.</t>
        </is>
      </c>
      <c r="D16" s="29" t="inlineStr">
        <is>
          <t>C-09</t>
        </is>
      </c>
    </row>
    <row r="17" ht="23.85" customHeight="1" s="17">
      <c r="A17" s="29" t="inlineStr">
        <is>
          <t>Q16</t>
        </is>
      </c>
      <c r="B17" s="29" t="inlineStr">
        <is>
          <t>What is the earliest you can show value?</t>
        </is>
      </c>
      <c r="C17" s="29" t="inlineStr">
        <is>
          <t>Not within 90 days with certainty. The roadmap reaches at most a limited-entry decision, needs 17 unmet pre-conditions closed first, and may still end at "ROI not computable" if the pilot window is too short.</t>
        </is>
      </c>
      <c r="D17" s="29" t="inlineStr">
        <is>
          <t>C-29</t>
        </is>
      </c>
    </row>
    <row r="18" ht="15" customHeight="1" s="17">
      <c r="A18" s="29" t="inlineStr">
        <is>
          <t>Q17</t>
        </is>
      </c>
      <c r="B18" s="29" t="inlineStr">
        <is>
          <t>Are the SLOs a commitment?</t>
        </is>
      </c>
      <c r="C18" s="29" t="inlineStr">
        <is>
          <t>No. Five SLO candidates, no SLA, thresholds are agent assumptions.</t>
        </is>
      </c>
      <c r="D18" s="29" t="inlineStr">
        <is>
          <t>C-18</t>
        </is>
      </c>
    </row>
    <row r="19" ht="23.85" customHeight="1" s="17">
      <c r="A19" s="29" t="inlineStr">
        <is>
          <t>Q18</t>
        </is>
      </c>
      <c r="B19" s="29" t="inlineStr">
        <is>
          <t>Which vendors do we depend on?</t>
        </is>
      </c>
      <c r="C19" s="29" t="inlineStr">
        <is>
          <t>At build time: the AI coding assistant, code host and cloud workspace. At run time: Python and SQLite only. Vendor acceptances VA-01..VA-07 are proposed, not accepted.</t>
        </is>
      </c>
      <c r="D19" s="29" t="inlineStr">
        <is>
          <t>C-33, C-10</t>
        </is>
      </c>
    </row>
    <row r="20" ht="23.85" customHeight="1" s="17">
      <c r="A20" s="29" t="inlineStr">
        <is>
          <t>Q19</t>
        </is>
      </c>
      <c r="B20" s="29" t="inlineStr">
        <is>
          <t>What were the data origins?</t>
        </is>
      </c>
      <c r="C20" s="29" t="inlineStr">
        <is>
          <t>Synthetic: the shipped 125-case database (sha256 c254649f...d70aa, seed 4100, confirmed by Dinesh in OD-09). No real data has touched the hub.</t>
        </is>
      </c>
      <c r="D20" s="29" t="inlineStr">
        <is>
          <t>C-03, OD-09</t>
        </is>
      </c>
    </row>
    <row r="21" ht="23.85" customHeight="1" s="17">
      <c r="A21" s="29" t="inlineStr">
        <is>
          <t>Q20</t>
        </is>
      </c>
      <c r="B21" s="29" t="inlineStr">
        <is>
          <t>Are Stage 38 (handover) and Stage 41 (retirement) done?</t>
        </is>
      </c>
      <c r="C21" s="29" t="inlineStr">
        <is>
          <t>No. Those documents do not exist at main b1de232.</t>
        </is>
      </c>
      <c r="D21" s="29" t="inlineStr">
        <is>
          <t>C-32</t>
        </is>
      </c>
    </row>
  </sheetData>
  <autoFilter ref="A1:D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6" min="1" max="1"/>
    <col width="80" customWidth="1" style="16" min="2" max="2"/>
    <col width="30" customWidth="1" style="16" min="3" max="3"/>
    <col width="22" customWidth="1" style="16" min="4" max="4"/>
  </cols>
  <sheetData>
    <row r="1" ht="15" customHeight="1" s="17">
      <c r="A1" s="28" t="inlineStr">
        <is>
          <t>Minutes</t>
        </is>
      </c>
      <c r="B1" s="28" t="inlineStr">
        <is>
          <t>Segment</t>
        </is>
      </c>
      <c r="C1" s="28" t="inlineStr">
        <is>
          <t>Material</t>
        </is>
      </c>
      <c r="D1" s="28" t="inlineStr">
        <is>
          <t>Evidence</t>
        </is>
      </c>
    </row>
    <row r="2" ht="15" customHeight="1" s="17">
      <c r="A2" s="29" t="inlineStr">
        <is>
          <t>0-2</t>
        </is>
      </c>
      <c r="B2" s="29" t="inlineStr">
        <is>
          <t>Frame: synthetic, not released, value unproven</t>
        </is>
      </c>
      <c r="C2" s="29" t="inlineStr">
        <is>
          <t>Opening slide</t>
        </is>
      </c>
      <c r="D2" s="29" t="inlineStr">
        <is>
          <t>Exec narrative EN-2</t>
        </is>
      </c>
    </row>
    <row r="3" ht="15" customHeight="1" s="17">
      <c r="A3" s="29" t="inlineStr">
        <is>
          <t>2-6</t>
        </is>
      </c>
      <c r="B3" s="29" t="inlineStr">
        <is>
          <t>Problem and root causes (RC-1..RC-8), month-end 742,956.61 vs 622,826.44</t>
        </is>
      </c>
      <c r="C3" s="29" t="inlineStr">
        <is>
          <t>Confirmed root causes</t>
        </is>
      </c>
      <c r="D3" s="29" t="inlineStr">
        <is>
          <t>C-02</t>
        </is>
      </c>
    </row>
    <row r="4" ht="15" customHeight="1" s="17">
      <c r="A4" s="29" t="inlineStr">
        <is>
          <t>6-10</t>
        </is>
      </c>
      <c r="B4" s="29" t="inlineStr">
        <is>
          <t>Journey: 42-stage spine, adaptations, decision discipline</t>
        </is>
      </c>
      <c r="C4" s="29" t="inlineStr">
        <is>
          <t>Spine log</t>
        </is>
      </c>
      <c r="D4" s="29" t="inlineStr">
        <is>
          <t>C-05..C-06</t>
        </is>
      </c>
    </row>
    <row r="5" ht="15" customHeight="1" s="17">
      <c r="A5" s="29" t="inlineStr">
        <is>
          <t>10-14</t>
        </is>
      </c>
      <c r="B5" s="29" t="inlineStr">
        <is>
          <t>Why no GenAI (qualification) and where AI helped build</t>
        </is>
      </c>
      <c r="C5" s="29" t="inlineStr">
        <is>
          <t>AI decision defence</t>
        </is>
      </c>
      <c r="D5" s="29" t="inlineStr">
        <is>
          <t>C-05</t>
        </is>
      </c>
    </row>
    <row r="6" ht="15" customHeight="1" s="17">
      <c r="A6" s="29" t="inlineStr">
        <is>
          <t>14-18</t>
        </is>
      </c>
      <c r="B6" s="29" t="inlineStr">
        <is>
          <t>Architecture and controls (Zone H, hash chain, shadow mode)</t>
        </is>
      </c>
      <c r="C6" s="29" t="inlineStr">
        <is>
          <t>Architecture defence</t>
        </is>
      </c>
      <c r="D6" s="29" t="inlineStr">
        <is>
          <t>C-07..C-12</t>
        </is>
      </c>
    </row>
    <row r="7" ht="15" customHeight="1" s="17">
      <c r="A7" s="29" t="inlineStr">
        <is>
          <t>18-28</t>
        </is>
      </c>
      <c r="B7" s="29" t="inlineStr">
        <is>
          <t>Live/recorded demo: refusals, audit verify, parity, blocked gate (see demo script)</t>
        </is>
      </c>
      <c r="C7" s="29" t="inlineStr">
        <is>
          <t>Evidence logs</t>
        </is>
      </c>
      <c r="D7" s="29" t="inlineStr">
        <is>
          <t>C-12, C-19</t>
        </is>
      </c>
    </row>
    <row r="8" ht="15" customHeight="1" s="17">
      <c r="A8" s="29" t="inlineStr">
        <is>
          <t>28-33</t>
        </is>
      </c>
      <c r="B8" s="29" t="inlineStr">
        <is>
          <t>Before vs after KPIs (comparability classes)</t>
        </is>
      </c>
      <c r="C8" s="29" t="inlineStr">
        <is>
          <t>KPI Before-After sheet</t>
        </is>
      </c>
      <c r="D8" s="29" t="inlineStr">
        <is>
          <t>C-22</t>
        </is>
      </c>
    </row>
    <row r="9" ht="15" customHeight="1" s="17">
      <c r="A9" s="29" t="inlineStr">
        <is>
          <t>33-37</t>
        </is>
      </c>
      <c r="B9" s="29" t="inlineStr">
        <is>
          <t>Risks, residual risks, release status</t>
        </is>
      </c>
      <c r="C9" s="29" t="inlineStr">
        <is>
          <t>Risk summary</t>
        </is>
      </c>
      <c r="D9" s="29" t="inlineStr">
        <is>
          <t>C-19</t>
        </is>
      </c>
    </row>
    <row r="10" ht="15" customHeight="1" s="17">
      <c r="A10" s="29" t="inlineStr">
        <is>
          <t>37-40</t>
        </is>
      </c>
      <c r="B10" s="29" t="inlineStr">
        <is>
          <t>Five lessons and the ask (14 decisions)</t>
        </is>
      </c>
      <c r="C10" s="29" t="inlineStr">
        <is>
          <t>Lessons; NS-1</t>
        </is>
      </c>
      <c r="D10" s="29" t="inlineStr">
        <is>
          <t>NS-1</t>
        </is>
      </c>
    </row>
    <row r="11" ht="15" customHeight="1" s="17">
      <c r="A11" s="29" t="inlineStr">
        <is>
          <t>40-50</t>
        </is>
      </c>
      <c r="B11" s="29" t="inlineStr">
        <is>
          <t>Q&amp;A (20 prepared answers)</t>
        </is>
      </c>
      <c r="C11" s="29" t="inlineStr">
        <is>
          <t>Hard Q&amp;A sheet</t>
        </is>
      </c>
      <c r="D11" s="29" t="n"/>
    </row>
    <row r="12"/>
    <row r="13" ht="15" customHeight="1" s="17">
      <c r="A13" s="19" t="inlineStr">
        <is>
          <t>PROPOSED 40+10 structure. The repo's own demo script (docs/42) covers 15-20 minutes of this; the rest is new and needs your confirmation.</t>
        </is>
      </c>
    </row>
  </sheetData>
  <autoFilter ref="A1:D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6" min="1" max="1"/>
    <col width="36" customWidth="1" style="16" min="2" max="2"/>
    <col width="24" customWidth="1" style="16" min="3" max="3"/>
    <col width="80" customWidth="1" style="16" min="4" max="4"/>
    <col width="28" customWidth="1" style="16" min="5" max="5"/>
    <col width="60" customWidth="1" style="16" min="6" max="6"/>
  </cols>
  <sheetData>
    <row r="1" ht="15" customHeight="1" s="17">
      <c r="A1" s="28" t="inlineStr">
        <is>
          <t>Item</t>
        </is>
      </c>
      <c r="B1" s="28" t="inlineStr">
        <is>
          <t>What</t>
        </is>
      </c>
      <c r="C1" s="28" t="inlineStr">
        <is>
          <t>Status 25 Oct</t>
        </is>
      </c>
      <c r="D1" s="28" t="inlineStr">
        <is>
          <t>Detail</t>
        </is>
      </c>
      <c r="E1" s="28" t="inlineStr">
        <is>
          <t>Who closes it</t>
        </is>
      </c>
      <c r="F1" s="28" t="inlineStr">
        <is>
          <t>Where</t>
        </is>
      </c>
    </row>
    <row r="2" ht="23.85" customHeight="1" s="17">
      <c r="A2" s="29" t="inlineStr">
        <is>
          <t>T-05</t>
        </is>
      </c>
      <c r="B2" s="29" t="inlineStr">
        <is>
          <t>Full hub regression</t>
        </is>
      </c>
      <c r="C2" s="29" t="inlineStr">
        <is>
          <t>DONE (evidence)</t>
        </is>
      </c>
      <c r="D2" s="29" t="inlineStr">
        <is>
          <t>Python 3.14.6, clean main a2b4828, 31 of 31 groups, 586 of 586 tests executed as expected at main a2b4828, before Stage 44 (main e62c9b4: 33 groups, 613 executed, 1 skip, Python 3.13 cloud sandbox; Python 3.14 re-run pending); 1 skip (python3.9 not installed). Not yet recorded in the repo's gate-results.json.</t>
        </is>
      </c>
      <c r="E2" s="29" t="inlineStr">
        <is>
          <t>Claude</t>
        </is>
      </c>
      <c r="F2" s="29" t="inlineStr">
        <is>
          <t>06_Release_Readiness/evidence/regression-py314-main.json</t>
        </is>
      </c>
    </row>
    <row r="3" ht="23.85" customHeight="1" s="17">
      <c r="A3" s="29" t="inlineStr">
        <is>
          <t>T-05 (branch)</t>
        </is>
      </c>
      <c r="B3" s="29" t="inlineStr">
        <is>
          <t>Same run on branch docs/readme-hub-ui</t>
        </is>
      </c>
      <c r="C3" s="29" t="inlineStr">
        <is>
          <t>4 tests fail</t>
        </is>
      </c>
      <c r="D3" s="29" t="inlineStr">
        <is>
          <t>TST-CO-05 a/b/c and TST-CO-12 shard 3: the README.md change and the untracked scripts/hub_ui_demo.sh trip the legacy-paths guard. Repo state, not Python.</t>
        </is>
      </c>
      <c r="E3" s="29" t="inlineStr">
        <is>
          <t>You: decide how the README change is carried (see sheet note)</t>
        </is>
      </c>
      <c r="F3" s="29" t="inlineStr">
        <is>
          <t>06_Release_Readiness/evidence/regression-py314-branch-docs-readme-hub-ui.json</t>
        </is>
      </c>
    </row>
    <row r="4" ht="15" customHeight="1" s="17">
      <c r="A4" s="29" t="inlineStr">
        <is>
          <t>G1</t>
        </is>
      </c>
      <c r="B4" s="29" t="inlineStr">
        <is>
          <t>Golden diff: unapproved differences = 0</t>
        </is>
      </c>
      <c r="C4" s="29" t="inlineStr">
        <is>
          <t>OPEN: your 11 decisions</t>
        </is>
      </c>
      <c r="D4" s="29" t="inlineStr">
        <is>
          <t>Dry run on a sandbox: exit 6 before, exit 0 after all 11 deviation rows are approved.</t>
        </is>
      </c>
      <c r="E4" s="29" t="inlineStr">
        <is>
          <t>You (decide DV-01..DV-11)</t>
        </is>
      </c>
      <c r="F4" s="29" t="inlineStr">
        <is>
          <t>06_Release_Readiness/Release_Decision_Workbook.xlsx</t>
        </is>
      </c>
    </row>
    <row r="5" ht="15" customHeight="1" s="17">
      <c r="A5" s="29" t="inlineStr">
        <is>
          <t>T-09</t>
        </is>
      </c>
      <c r="B5" s="29" t="inlineStr">
        <is>
          <t>Monitoring for the release window</t>
        </is>
      </c>
      <c r="C5" s="29" t="inlineStr">
        <is>
          <t>OPEN: your choice</t>
        </is>
      </c>
      <c r="D5" s="29" t="inlineStr">
        <is>
          <t>Draft acceptance of manual monitoring (RB-00) written.</t>
        </is>
      </c>
      <c r="E5" s="29" t="inlineStr">
        <is>
          <t>You (A or B)</t>
        </is>
      </c>
      <c r="F5" s="29" t="inlineStr">
        <is>
          <t>06_Release_Readiness/T-09_Monitoring_Acceptance_Draft.md</t>
        </is>
      </c>
    </row>
    <row r="6" ht="15" customHeight="1" s="17">
      <c r="A6" s="29" t="inlineStr">
        <is>
          <t>T-10</t>
        </is>
      </c>
      <c r="B6" s="29" t="inlineStr">
        <is>
          <t>High vulnerabilities and findings decided</t>
        </is>
      </c>
      <c r="C6" s="29" t="inlineStr">
        <is>
          <t>OPEN: your 4 decisions</t>
        </is>
      </c>
      <c r="D6" s="29" t="inlineStr">
        <is>
          <t>VR-02, VR-03, VR-04, F-11 drafted with options.</t>
        </is>
      </c>
      <c r="E6" s="29" t="inlineStr">
        <is>
          <t>You</t>
        </is>
      </c>
      <c r="F6" s="29" t="inlineStr">
        <is>
          <t>06_Release_Readiness/T-10_Security_Decisions_Draft.md</t>
        </is>
      </c>
    </row>
    <row r="7" ht="15" customHeight="1" s="17">
      <c r="A7" s="29" t="inlineStr">
        <is>
          <t>Sign-offs</t>
        </is>
      </c>
      <c r="B7" s="29" t="inlineStr">
        <is>
          <t>22 release approvals (+18 cutover)</t>
        </is>
      </c>
      <c r="C7" s="29" t="inlineStr">
        <is>
          <t>0 of 40</t>
        </is>
      </c>
      <c r="D7" s="29" t="inlineStr">
        <is>
          <t>Workbook prepared; the hub rejects approvals not made by a named human.</t>
        </is>
      </c>
      <c r="E7" s="29" t="inlineStr">
        <is>
          <t>You</t>
        </is>
      </c>
      <c r="F7" s="29" t="inlineStr">
        <is>
          <t>06_Release_Readiness/Release_Decision_Workbook.xlsx</t>
        </is>
      </c>
    </row>
    <row r="8" ht="15" customHeight="1" s="17">
      <c r="A8" s="29" t="inlineStr">
        <is>
          <t>Evaluator</t>
        </is>
      </c>
      <c r="B8" s="29" t="inlineStr">
        <is>
          <t>python release_check.py evaluate</t>
        </is>
      </c>
      <c r="C8" s="29" t="inlineStr">
        <is>
          <t>NO-GO today</t>
        </is>
      </c>
      <c r="D8" s="29" t="inlineStr">
        <is>
          <t>17 of 20 technical criteria pass; blocking: G1, T-09, T-10; approvals 0 of 40.</t>
        </is>
      </c>
      <c r="E8" s="29" t="inlineStr">
        <is>
          <t>Run after you sign</t>
        </is>
      </c>
      <c r="F8" s="29" t="inlineStr">
        <is>
          <t>06_Release_Readiness/tools/release_check.py</t>
        </is>
      </c>
    </row>
  </sheetData>
  <autoFilter ref="A1:F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2026-10-25T18:28:13Z</dcterms:created>
  <dcterms:modified xmlns:dcterms="http://purl.org/dc/terms/" xmlns:xsi="http://www.w3.org/2001/XMLSchema-instance" xsi:type="dcterms:W3CDTF">2026-10-26T03:13:42Z</dcterms:modified>
  <cp:revision>0</cp:revision>
</cp:coreProperties>
</file>
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28 Guidelines" sheetId="2" state="visible" r:id="rId4"/>
    <sheet name="Decisions" sheetId="3" state="visible" r:id="rId5"/>
    <sheet name="KPI Before-After" sheetId="4" state="visible" r:id="rId6"/>
    <sheet name="Lessons" sheetId="5" state="visible" r:id="rId7"/>
    <sheet name="Hard Q&amp;A" sheetId="6" state="visible" r:id="rId8"/>
    <sheet name="Run of Show" sheetId="7" state="visible" r:id="rId9"/>
  </sheets>
  <definedNames>
    <definedName function="false" hidden="true" localSheetId="1" name="_xlnm._FilterDatabase" vbProcedure="false">'28 Guidelines'!$A$1:$K$29</definedName>
    <definedName function="false" hidden="true" localSheetId="2" name="_xlnm._FilterDatabase" vbProcedure="false">Decisions!$A$1:$G$15</definedName>
    <definedName function="false" hidden="true" localSheetId="5" name="_xlnm._FilterDatabase" vbProcedure="false">'Hard Q&amp;A'!$A$1:$D$21</definedName>
    <definedName function="false" hidden="true" localSheetId="3" name="_xlnm._FilterDatabase" vbProcedure="false">'KPI Before-After'!$A$1:$H$28</definedName>
    <definedName function="false" hidden="true" localSheetId="4" name="_xlnm._FilterDatabase" vbProcedure="false">Lessons!$A$1:$E$19</definedName>
    <definedName function="false" hidden="true" localSheetId="6" name="_xlnm._FilterDatabase" vbProcedure="false">'Run of Show'!$A$1:$D$11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<sst xmlns="http://schemas.openxmlformats.org/spreadsheetml/2006/main" count="801" uniqueCount="567">
  <si>
    <t xml:space="preserve">AI FDE Capstone: 28-point readiness tracker</t>
  </si>
  <si>
    <t xml:space="preserve">Prepared 2026-10-25 for Dinesh Naik. Source: AI_FDE_Capstone Final Presentation Guidelines; repo gxp-quality-hub-legacy. All repo data is synthetic and unvalidated.</t>
  </si>
  <si>
    <t xml:space="preserve">Verdict</t>
  </si>
  <si>
    <t xml:space="preserve">Count</t>
  </si>
  <si>
    <t xml:space="preserve">Meaning</t>
  </si>
  <si>
    <t xml:space="preserve">YES</t>
  </si>
  <si>
    <t xml:space="preserve">Evidence exists; artifact can be produced now</t>
  </si>
  <si>
    <t xml:space="preserve">PARTIAL</t>
  </si>
  <si>
    <t xml:space="preserve">Most can be produced; stated gap</t>
  </si>
  <si>
    <t xml:space="preserve">BLOCKED</t>
  </si>
  <si>
    <t xml:space="preserve">Needs a decision or asset from you, or conflicts with a recorded decision</t>
  </si>
  <si>
    <t xml:space="preserve">LATER</t>
  </si>
  <si>
    <t xml:space="preserve">Needs a build step not yet done</t>
  </si>
  <si>
    <t xml:space="preserve">Total</t>
  </si>
  <si>
    <t xml:space="preserve">Headline findings</t>
  </si>
  <si>
    <t xml:space="preserve">F-1 The product is formally No-AI (OD-08). Guidelines #6, #7, #17, #24 conflict with it as written.</t>
  </si>
  <si>
    <t xml:space="preserve">F-2 Only one of the two required applications exists (the shadow hub).</t>
  </si>
  <si>
    <t xml:space="preserve">F-3 Release is BLOCKED (0 of 40 approvals) and value is not computable; no improvement may be claimed.</t>
  </si>
  <si>
    <t xml:space="preserve">F-4 Birlasoft branding assets are not in the folder (blocks #15, #16, #25).</t>
  </si>
  <si>
    <t xml:space="preserve">F-5 The UI is thin (7 screens, loopback only).</t>
  </si>
  <si>
    <t xml:space="preserve">Sheets: 28 Guidelines | Decisions | KPI Before-After | Lessons | Hard Q&amp;A | Run of Show</t>
  </si>
  <si>
    <t xml:space="preserve">#</t>
  </si>
  <si>
    <t xml:space="preserve">Section</t>
  </si>
  <si>
    <t xml:space="preserve">Guideline</t>
  </si>
  <si>
    <t xml:space="preserve">Verdict detail</t>
  </si>
  <si>
    <t xml:space="preserve">What can be created</t>
  </si>
  <si>
    <t xml:space="preserve">Repo evidence</t>
  </si>
  <si>
    <t xml:space="preserve">Gap / limitation</t>
  </si>
  <si>
    <t xml:space="preserve">Needed from you</t>
  </si>
  <si>
    <t xml:space="preserve">Owner</t>
  </si>
  <si>
    <t xml:space="preserve">Status / notes</t>
  </si>
  <si>
    <t xml:space="preserve">1</t>
  </si>
  <si>
    <t xml:space="preserve">A: Engineering &amp; Transformation</t>
  </si>
  <si>
    <t xml:space="preserve">42-Stage AI FDE Spine</t>
  </si>
  <si>
    <t xml:space="preserve">Spine coverage &amp; adaptation log: one row per stage (00A–43) with status, depth, what was adapted</t>
  </si>
  <si>
    <t xml:space="preserve">46 stage prompts executed 0A→43; statuses in git log + OD-01..OD-39. N/A: 19, 22. BLOCKED: 30, 38, 41, 43. Most others CONDITIONAL PASS</t>
  </si>
  <si>
    <t xml:space="preserve">Statuses are the agent's own; no external review</t>
  </si>
  <si>
    <t xml:space="preserve">none</t>
  </si>
  <si>
    <t xml:space="preserve">2</t>
  </si>
  <si>
    <t xml:space="preserve">Prompt Adaptability</t>
  </si>
  <si>
    <t xml:space="preserve">Prompt adaptation register: what was added, combined, skipped or changed and why</t>
  </si>
  <si>
    <t xml:space="preserve">Added pre-flight 0A/0B/0C; Stage 19/22 skipped by decision; path deviations (S28-DEV-05 28-reliability vs 28-resilience, S43-DEV-01 final-prd); "test once" and parallel doc stages (OD-23). The two prompt copies (FDE_Stage_System_Prompts and .fde/stage-prompts) are byte-identical, so no prompt text was edited</t>
  </si>
  <si>
    <t xml:space="preserve">Adaptations were made in execution, not by editing prompts (LL-16 says fix paths at source)</t>
  </si>
  <si>
    <t xml:space="preserve">Confirm if you edited any prompt elsewhere</t>
  </si>
  <si>
    <t xml:space="preserve">3</t>
  </si>
  <si>
    <t xml:space="preserve">Enterprise Context Lake</t>
  </si>
  <si>
    <t xml:space="preserve">Context-Lake manifest: versioned index of every context asset (978 doc files, ADR-001..018, OD log, specs, schemas, evidence logs, semantic layer) with type, stage, hash and evidence tier [Verified Fact/Inference/Assumption/Unknown]</t>
  </si>
  <si>
    <t xml:space="preserve">Evidence-tagged docs, SHA256SUMS files, traceability matrix (docs/13), package graph, semantic layer (new)</t>
  </si>
  <si>
    <t xml:space="preserve">No queryable store; "code intelligence" is a text package graph, not an index. Naming clash: data/lake/ in the repo is synthetic event data, not the Context Lake</t>
  </si>
  <si>
    <t xml:space="preserve">Confirm the Context Lake may be a file-based manifest + semantic layer rather than a database</t>
  </si>
  <si>
    <t xml:space="preserve">4</t>
  </si>
  <si>
    <t xml:space="preserve">Two functional applications</t>
  </si>
  <si>
    <t xml:space="preserve">App-B build plan + regeneration prompt pack fed only by the semantic layer</t>
  </si>
  <si>
    <t xml:space="preserve">App A = shadow hub (204 py files, 17,247 lines, CLI + HTTP API with 48 operations)</t>
  </si>
  <si>
    <t xml:space="preserve">App B does not exist. "AI-transformed" label conflicts with F-1</t>
  </si>
  <si>
    <t xml:space="preserve">Decide: App A = hub as-is? App B = regenerated from semantic layer on a different model? Which stack?</t>
  </si>
  <si>
    <t xml:space="preserve">5</t>
  </si>
  <si>
    <t xml:space="preserve">Enterprise-grade UI/UX</t>
  </si>
  <si>
    <t xml:space="preserve">UI gap analysis and a UI build spec (roles, navigation, dashboards, exception handling)</t>
  </si>
  <si>
    <t xml:space="preserve">7 server-rendered screens/actions (login, home, queue, case trace, evidence pack, disposition, override) for 4 roles; exception queue with reason codes; deny-by-default routes</t>
  </si>
  <si>
    <t xml:space="preserve">No dashboards, no wide navigation, no TLS, no real integrations. Building a richer UI is new work</t>
  </si>
  <si>
    <t xml:space="preserve">Decide whether App B (not the frozen hub) carries the richer UI</t>
  </si>
  <si>
    <t xml:space="preserve">6</t>
  </si>
  <si>
    <t xml:space="preserve">Agentic AI engineering</t>
  </si>
  <si>
    <t xml:space="preserve">BLOCKED (conflicts with F-1)</t>
  </si>
  <si>
    <t xml:space="preserve">Bounded-autonomy evidence sheet: the autonomy ladder A0–A5, Zone H human gate (ZH-01..ZH-10), HITL/HOTL, deterministic control boundaries</t>
  </si>
  <si>
    <t xml:space="preserve">docs/23-human-control/, hub/gate/, autonomy catalogue. Planning/tool orchestration agents do not exist and were rejected at Stage 8 (A4 "not built")</t>
  </si>
  <si>
    <t xml:space="preserve">Cannot present agentic workflows that were deliberately not built</t>
  </si>
  <si>
    <t xml:space="preserve">Decision: re-qualify AI (RQ-1..RQ-3) and add an advisory agent in App B, or present the No-AI decision</t>
  </si>
  <si>
    <t xml:space="preserve">7</t>
  </si>
  <si>
    <t xml:space="preserve">Knowledge graphs</t>
  </si>
  <si>
    <t xml:space="preserve">Graph export from the semantic layer: nodes/edges JSON + Mermaid diagram; optional RDF/Turtle</t>
  </si>
  <si>
    <t xml:space="preserve">relationships.yaml (new), crosswalk (7 id types, 6 link-type codes / 8 type pairs, 168 exact-key links), joined view</t>
  </si>
  <si>
    <t xml:space="preserve">Stage 11 chose no graph database; enterprise graph has one untyped relation (relates_to, ER-11-02). "Justified by use case" is arguable for explainability only</t>
  </si>
  <si>
    <t xml:space="preserve">none (I can proceed with the lightweight export)</t>
  </si>
  <si>
    <t xml:space="preserve">8</t>
  </si>
  <si>
    <t xml:space="preserve">Semantic Layer</t>
  </si>
  <si>
    <t xml:space="preserve">YES — done now</t>
  </si>
  <si>
    <t xml:space="preserve">Delivered: semantic-layer/ (glossary, entities, relationships, status taxonomy, business rules, metrics, access semantics, AI-context policy, workflows, constraints, context dependencies, JSON schema, generated JSON, tests, assessment)</t>
  </si>
  <si>
    <t xml:space="preserve">See §6</t>
  </si>
  <si>
    <t xml:space="preserve">Not yet proven portable — requires the model-swap test</t>
  </si>
  <si>
    <t xml:space="preserve">Run the portability test when ready</t>
  </si>
  <si>
    <t xml:space="preserve">9</t>
  </si>
  <si>
    <t xml:space="preserve">Specification-Driven Development</t>
  </si>
  <si>
    <t xml:space="preserve">SDD evidence index: requirement → spec → contract → ADR → acceptance criterion</t>
  </si>
  <si>
    <t xml:space="preserve">52 FRs + 20 PNFRs, 48 spec business rules (SBR), 10 feature specs, OpenAPI (48 ops), 16 JSON schemas, DDL, AC- criteria, 18 ADRs (all still DRAFT status)</t>
  </si>
  <si>
    <t xml:space="preserve">ADRs never individually ACCEPTED (AB-AR-7)</t>
  </si>
  <si>
    <t xml:space="preserve">10</t>
  </si>
  <si>
    <t xml:space="preserve">Test-Driven Development</t>
  </si>
  <si>
    <t xml:space="preserve">Test pyramid &amp; evidence summary (characterization, unit, integration, regression, contract, e2e, mutation)</t>
  </si>
  <si>
    <t xml:space="preserve">Characterization harness 134/134; mutation gate 15/15 (vs shipped suite 1/15); 396 ok / 1 skipped at Stage 16; 419 methods at Stage 20, 31 regression groups green at final merge; planned tests per increment written before build</t>
  </si>
  <si>
    <t xml:space="preserve">CT-13 fails on Node patch drift; test totals not re-run at final HEAD (U-43-12); no CI installed</t>
  </si>
  <si>
    <t xml:space="preserve">Permission to re-run in a sandbox copy if you want fresh numbers</t>
  </si>
  <si>
    <t xml:space="preserve">11</t>
  </si>
  <si>
    <t xml:space="preserve">Security &amp; Threat Modeling</t>
  </si>
  <si>
    <t xml:space="preserve">Security story: threat model, attack surface, control matrix, red-team results</t>
  </si>
  <si>
    <t xml:space="preserve">docs/24-security-privacy/, TEVV (11 findings, no Critical, 1 High fixed under assumption), Stage 27 hardening (F-01..F-07 fixed)</t>
  </si>
  <si>
    <t xml:space="preserve">No LLM/RAG/agent threats because there is no AI; no TLS, no 2FA, no external pen test</t>
  </si>
  <si>
    <t xml:space="preserve">12</t>
  </si>
  <si>
    <t xml:space="preserve">Compliance &amp; Governance</t>
  </si>
  <si>
    <t xml:space="preserve">YES (with wording limits)</t>
  </si>
  <si>
    <t xml:space="preserve">Compliance &amp; governance summary: obligations OB-01..OB-16, control matrix, system card, model card, AI-system register</t>
  </si>
  <si>
    <t xml:space="preserve">docs/25-governance/</t>
  </si>
  <si>
    <t xml:space="preserve">You decided "Part 11 framing only, no 'compliant' claims" (OD-30). Retention is hold-all; privacy regime not assessed</t>
  </si>
  <si>
    <t xml:space="preserve">13</t>
  </si>
  <si>
    <t xml:space="preserve">Production Engineering</t>
  </si>
  <si>
    <t xml:space="preserve">Built-vs-wired readiness matrix (observability, resilience, rollback, performance, scalability, ops readiness)</t>
  </si>
  <si>
    <t xml:space="preserve">Stages 27–31: runbook, SLO candidates (5), failure injection, backup/restore + rollback rehearsal, RTO/RPO targets</t>
  </si>
  <si>
    <t xml:space="preserve">Resilience, observability exports, release evaluator, CI file exist but are not wired/installed; no deployed environment; 24 of 38 readiness checks met</t>
  </si>
  <si>
    <t xml:space="preserve">Decide whether to wire them before the demo</t>
  </si>
  <si>
    <t xml:space="preserve">14</t>
  </si>
  <si>
    <t xml:space="preserve">Evidence-Based Comparison</t>
  </si>
  <si>
    <t xml:space="preserve">PARTIAL / LATER</t>
  </si>
  <si>
    <t xml:space="preserve">Comparison harness design + scenario set; legacy-vs-hub table from Stage 34/35</t>
  </si>
  <si>
    <t xml:space="preserve">Identical scenarios exist (FX-BASE125, goldens). Only 3 like-for-like KPI pairs, all "sandbox parity"</t>
  </si>
  <si>
    <t xml:space="preserve">Needs App B for A-vs-B. ROI not computable; latency has no target; model cost is USD 0 by design. No improvement can be claimed</t>
  </si>
  <si>
    <t xml:space="preserve">App B (see #4)</t>
  </si>
  <si>
    <t xml:space="preserve">15</t>
  </si>
  <si>
    <t xml:space="preserve">Birlasoft Branding</t>
  </si>
  <si>
    <t xml:space="preserve">Apply branding to deck/diagrams once assets arrive</t>
  </si>
  <si>
    <t xml:space="preserve">—</t>
  </si>
  <si>
    <t xml:space="preserve">No logo, template or brand guide in the folder</t>
  </si>
  <si>
    <t xml:space="preserve">Provide approved logo, corporate .pptx/.potx template, brand guidelines</t>
  </si>
  <si>
    <t xml:space="preserve">16</t>
  </si>
  <si>
    <t xml:space="preserve">Board-Level Presentation</t>
  </si>
  <si>
    <t xml:space="preserve">The deck (PowerPoint or Slides artifact), 40-minute structure</t>
  </si>
  <si>
    <t xml:space="preserve">Stage 42 content: narrative, elevator pitch, architecture defence, risk summary, economic summary, next steps</t>
  </si>
  <si>
    <t xml:space="preserve">Template (#15) missing. Message must be honest: not released, value unproven</t>
  </si>
  <si>
    <t xml:space="preserve">Branding assets; confirm PowerPoint vs Slides</t>
  </si>
  <si>
    <t xml:space="preserve">17</t>
  </si>
  <si>
    <t xml:space="preserve">Live End-to-End Demonstration</t>
  </si>
  <si>
    <t xml:space="preserve">Demo runbook + pre-flight checklist + fallback evidence logs</t>
  </si>
  <si>
    <t xml:space="preserve">demo-day-script.md (15–20 min, sandbox-copy rules), s30-log- evidence logs</t>
  </si>
  <si>
    <t xml:space="preserve">Needs a sandbox copy (never the working tree). Zone H holders ship empty, so a synthetic holder must be configured in the sandbox. No AI/agentic step; no second app yet</t>
  </si>
  <si>
    <t xml:space="preserve">Confirm demo machine and Python version</t>
  </si>
  <si>
    <t xml:space="preserve">18</t>
  </si>
  <si>
    <t xml:space="preserve">Engineering Evidence &amp; Traceability</t>
  </si>
  <si>
    <t xml:space="preserve">Evidence index: claim → artifact → test/log → hash</t>
  </si>
  <si>
    <t xml:space="preserve">Claims register C-01..C-34, RTM (docs/13), SHA256SUMS per stage, golden manifests</t>
  </si>
  <si>
    <t xml:space="preserve">Human sign-offs are all open</t>
  </si>
  <si>
    <t xml:space="preserve">19</t>
  </si>
  <si>
    <t xml:space="preserve">B: Presentation &amp; Executive Defence</t>
  </si>
  <si>
    <t xml:space="preserve">Time-boxed (40 + 10 min)</t>
  </si>
  <si>
    <t xml:space="preserve">Minute-by-minute run-of-show with demo cut-points and Q&amp;A bank</t>
  </si>
  <si>
    <t xml:space="preserve">demo-day-script.md (15–20 min) to extend to 40</t>
  </si>
  <si>
    <t xml:space="preserve">Needs the second app for a full 40 min</t>
  </si>
  <si>
    <t xml:space="preserve">Confirm demo order</t>
  </si>
  <si>
    <t xml:space="preserve">20</t>
  </si>
  <si>
    <t xml:space="preserve">Compelling storytelling</t>
  </si>
  <si>
    <t xml:space="preserve">YES (honest framing)</t>
  </si>
  <si>
    <t xml:space="preserve">Narrative arc: problem → consequences → journey → outcomes</t>
  </si>
  <si>
    <t xml:space="preserve">executive-narrative.md, problem-to-value-story.md. Data hooks: month-end total 742,956.61 vs 622,826.44 (19.3 % join fan-out); 97.98 % of feed rows unmatched</t>
  </si>
  <si>
    <t xml:space="preserve">Consequences are not quantified in money; no real stakeholders</t>
  </si>
  <si>
    <t xml:space="preserve">21</t>
  </si>
  <si>
    <t xml:space="preserve">Problem → Solution → Impact</t>
  </si>
  <si>
    <t xml:space="preserve">One-page P→S→I</t>
  </si>
  <si>
    <t xml:space="preserve">Eight confirmed root causes RC-1..RC-8; solution = 10 capabilities; impact = parity + risk-control mechanisms</t>
  </si>
  <si>
    <t xml:space="preserve">"Business value delivered" is not measurable today</t>
  </si>
  <si>
    <t xml:space="preserve">22</t>
  </si>
  <si>
    <t xml:space="preserve">Business + technical balance</t>
  </si>
  <si>
    <t xml:space="preserve">Slide-budget plan (equal weight)</t>
  </si>
  <si>
    <t xml:space="preserve">Business: personas, KPIs, value hypothesis. Technical: ADRs, specs, tests</t>
  </si>
  <si>
    <t xml:space="preserve">23</t>
  </si>
  <si>
    <t xml:space="preserve">Before vs After KPIs</t>
  </si>
  <si>
    <t xml:space="preserve">KPI before/after charts for 22 KPIs, colour-coded by comparability class</t>
  </si>
  <si>
    <t xml:space="preserve">Stage 34 sheet. Comparable: backlog 89/125 (parity), reopen rate 6.4 % (parity), replay safety Δ0, decisions recorded 0→2 of 2</t>
  </si>
  <si>
    <t xml:space="preserve">Most KPIs Unknown (no closure/evidence timestamps). K-03 0 %→4/4 is not like-for-like. Productivity/performance have no baseline</t>
  </si>
  <si>
    <t xml:space="preserve">Decide whether to add measured build-effort data</t>
  </si>
  <si>
    <t xml:space="preserve">24</t>
  </si>
  <si>
    <t xml:space="preserve">GenAI Value Justification</t>
  </si>
  <si>
    <t xml:space="preserve">BLOCKED (F-1)</t>
  </si>
  <si>
    <t xml:space="preserve">"Where GenAI was and was not justified" slide: Stage 8 matrix, deterministic-vs-AI boundaries, GenAI used to build (AI-assisted SDLC) separated from product</t>
  </si>
  <si>
    <t xml:space="preserve">ai-decision-defence.md, deterministic-vs-ai-boundaries.md. AI coding assistants built the hub; 4 defects caught only by independent regression</t>
  </si>
  <si>
    <t xml:space="preserve">Product GenAI contribution = none by decision. Build-effort savings not measured (LL-14)</t>
  </si>
  <si>
    <t xml:space="preserve">Decide the stance (see F-1); semantic-layer portability is the only GenAI-relevant claim you can test</t>
  </si>
  <si>
    <t xml:space="preserve">25</t>
  </si>
  <si>
    <t xml:space="preserve">Visual-first communication</t>
  </si>
  <si>
    <t xml:space="preserve">Architecture, workflow, graph, KPI and traceability diagrams</t>
  </si>
  <si>
    <t xml:space="preserve">Component model, ADRs, workflows, semantic layer</t>
  </si>
  <si>
    <t xml:space="preserve">Branding (#15)</t>
  </si>
  <si>
    <t xml:space="preserve">Branding assets</t>
  </si>
  <si>
    <t xml:space="preserve">26</t>
  </si>
  <si>
    <t xml:space="preserve">Evidence-based demonstration</t>
  </si>
  <si>
    <t xml:space="preserve">Proof-of-work bundle: logs, test outputs, hashes</t>
  </si>
  <si>
    <t xml:space="preserve">s30-log-, docs/16-repo-validation/evidence, TEVV evidence, golden compare</t>
  </si>
  <si>
    <t xml:space="preserve">Fresh run optional</t>
  </si>
  <si>
    <t xml:space="preserve">27</t>
  </si>
  <si>
    <t xml:space="preserve">End-to-end transformation traceability</t>
  </si>
  <si>
    <t xml:space="preserve">Traceability ribbon: discovery (S5/7) → rule extraction (S6/12) → architecture (S10) → modernization (S15) → validation (S16/26) → readiness (S30) → semantic layer</t>
  </si>
  <si>
    <t xml:space="preserve">All stages documented</t>
  </si>
  <si>
    <t xml:space="preserve">"AI integration" step is N/A; production readiness = BLOCKED</t>
  </si>
  <si>
    <t xml:space="preserve">28</t>
  </si>
  <si>
    <t xml:space="preserve">Crisp lessons learned (4–5)</t>
  </si>
  <si>
    <t xml:space="preserve">Five lessons distilled from the 18 recorded (engineering, business, GenAI limits, unexpected, future)</t>
  </si>
  <si>
    <t xml:space="preserve">lessons-learned.md LL-01..LL-18</t>
  </si>
  <si>
    <t xml:space="preserve">Lessons about GenAI limits come from the build process, not product use</t>
  </si>
  <si>
    <t xml:space="preserve">Decision (only the owner can make)</t>
  </si>
  <si>
    <t xml:space="preserve">Why now</t>
  </si>
  <si>
    <t xml:space="preserve">Unblocks</t>
  </si>
  <si>
    <t xml:space="preserve">Source</t>
  </si>
  <si>
    <t xml:space="preserve">Decision recorded?</t>
  </si>
  <si>
    <t xml:space="preserve">Date</t>
  </si>
  <si>
    <t xml:space="preserve">Is this engagement continuing toward a pilot, or stopping at a documented sandbox build? Record the go-ahead (roadmap D+0) or a stop</t>
  </si>
  <si>
    <t xml:space="preserve">Everything depends on it; the roadmap takes no position</t>
  </si>
  <si>
    <t xml:space="preserve">all</t>
  </si>
  <si>
    <t xml:space="preserve">90-day-roadmap.md SB-01</t>
  </si>
  <si>
    <t xml:space="preserve">Open</t>
  </si>
  <si>
    <t xml:space="preserve">Release decision: go / no-go across the 40 approval records (22 release approvals plus step-specific ones, per the evaluator rule); at minimum DV-01..DV-11 preserve-or-fix, CUT-1..CUT-5, G1..G10 acknowledgement</t>
  </si>
  <si>
    <t xml:space="preserve">Gate BLOCKED at 0 of 40</t>
  </si>
  <si>
    <t xml:space="preserve">G1 criterion, any cutover</t>
  </si>
  <si>
    <t xml:space="preserve">release-approvals.md; OD-37</t>
  </si>
  <si>
    <t xml:space="preserve">Name Zone H holders, or declare Zone H unused for the pilot</t>
  </si>
  <si>
    <t xml:space="preserve">Human gate cannot be exercised without them</t>
  </si>
  <si>
    <t xml:space="preserve">RP-09, pilot</t>
  </si>
  <si>
    <t xml:space="preserve">OD-31</t>
  </si>
  <si>
    <t xml:space="preserve">Name owners/responder, or state explicitly that Dinesh alone is the pilot owner; appoint a second reviewer or record that none exists (DQ-17)</t>
  </si>
  <si>
    <t xml:space="preserve">0/28 owners; single approver</t>
  </si>
  <si>
    <t xml:space="preserve">RP-01, TOM</t>
  </si>
  <si>
    <t xml:space="preserve">OD-34</t>
  </si>
  <si>
    <t xml:space="preserve">Define the after-window: start, unit, minimum duration, data owner, capture method for time and effort</t>
  </si>
  <si>
    <t xml:space="preserve">Without it ROI is never computable</t>
  </si>
  <si>
    <t xml:space="preserve">Stage 34/35/36 v0.2</t>
  </si>
  <si>
    <t xml:space="preserve">G1-10; D-34-02</t>
  </si>
  <si>
    <t xml:space="preserve">Sign or amend the KPI baseline freeze; raise Stage 4 v0.2 addendum for A-04-01; provide an as_of parameter for the hub</t>
  </si>
  <si>
    <t xml:space="preserve">Baseline contestable</t>
  </si>
  <si>
    <t xml:space="preserve">like-for-like variance</t>
  </si>
  <si>
    <t xml:space="preserve">D-34-03/04</t>
  </si>
  <si>
    <t xml:space="preserve">Decide the Python floor and run a 3.12+ regression</t>
  </si>
  <si>
    <t xml:space="preserve">Production target untested</t>
  </si>
  <si>
    <t xml:space="preserve">RT-14, VR-02</t>
  </si>
  <si>
    <t xml:space="preserve">D-27-02; SB-08, SB-12</t>
  </si>
  <si>
    <t xml:space="preserve">Decide data posture: field classes, tenant, regime, retention, exposure (loopback vs wider with TLS/second factor/token expiry)</t>
  </si>
  <si>
    <t xml:space="preserve">Required before any real data</t>
  </si>
  <si>
    <t xml:space="preserve">RS-06, RP-04, RP-07, RS-01/02</t>
  </si>
  <si>
    <t xml:space="preserve">SB-20, SB-21</t>
  </si>
  <si>
    <t xml:space="preserve">Accept, reject or reroute residual registers (RP, RS, RTR, VA, SR, F-11) with a review trigger for each</t>
  </si>
  <si>
    <t xml:space="preserve">Nothing is accepted today</t>
  </si>
  <si>
    <t xml:space="preserve">honest risk position</t>
  </si>
  <si>
    <t xml:space="preserve">OD-30..OD-37</t>
  </si>
  <si>
    <t xml:space="preserve">Sign the three reviewer walkthroughs (TST-REV-03/04/08) or leave them open explicitly</t>
  </si>
  <si>
    <t xml:space="preserve">RT-13</t>
  </si>
  <si>
    <t xml:space="preserve">TEVV PASS</t>
  </si>
  <si>
    <t xml:space="preserve">walkthrough-records.md</t>
  </si>
  <si>
    <t xml:space="preserve">Accept or reject S30-DEV-01 (verify-audit exit 17), the Stage 27 behaviour defaults (A-27-02/04/05), and the Stage 28/31 numeric defaults</t>
  </si>
  <si>
    <t xml:space="preserve">Agent assumptions awaiting a human</t>
  </si>
  <si>
    <t xml:space="preserve">traceability of "approved"</t>
  </si>
  <si>
    <t xml:space="preserve">OD-34..OD-37</t>
  </si>
  <si>
    <t xml:space="preserve">Install the hardening CI under .github with SHA pins (HAR-07) or record "manual"</t>
  </si>
  <si>
    <t xml:space="preserve">CI absent</t>
  </si>
  <si>
    <t xml:space="preserve">RP-05</t>
  </si>
  <si>
    <t xml:space="preserve">Supply cost inputs for Stage 36 (rate, volumes, reviewer minutes, effort actuals, hosting, toolchain charges, discount rate)</t>
  </si>
  <si>
    <t xml:space="preserve">ROI inputs</t>
  </si>
  <si>
    <t xml:space="preserve">Stage 36 v0.2</t>
  </si>
  <si>
    <t xml:space="preserve">roi-model.md; OD-36</t>
  </si>
  <si>
    <t xml:space="preserve">Instruct Stages 38 (handover) and 41 (retirement), then FINAL</t>
  </si>
  <si>
    <t xml:space="preserve">Not produced</t>
  </si>
  <si>
    <t xml:space="preserve">closure of the engagement</t>
  </si>
  <si>
    <t xml:space="preserve">C-32</t>
  </si>
  <si>
    <t xml:space="preserve">A</t>
  </si>
  <si>
    <t xml:space="preserve">AI stance: keep No-AI and present 'GenAI deliberately not used', or re-open qualification (RQ-1..RQ-3)</t>
  </si>
  <si>
    <t xml:space="preserve">Unblocks #6, #17, #24</t>
  </si>
  <si>
    <t xml:space="preserve">Feasibility matrix F-1</t>
  </si>
  <si>
    <t xml:space="preserve">B</t>
  </si>
  <si>
    <t xml:space="preserve">Provide Birlasoft logo, template, brand guidelines</t>
  </si>
  <si>
    <t xml:space="preserve">Unblocks #15, #16, #25</t>
  </si>
  <si>
    <t xml:space="preserve">Feasibility matrix F-4</t>
  </si>
  <si>
    <t xml:space="preserve">C</t>
  </si>
  <si>
    <t xml:space="preserve">Define the two applications (App A = hub; App B = regenerated from semantic layer on another model)</t>
  </si>
  <si>
    <t xml:space="preserve">Unblocks #4, #14</t>
  </si>
  <si>
    <t xml:space="preserve">Feasibility matrix F-2</t>
  </si>
  <si>
    <t xml:space="preserve">KPI</t>
  </si>
  <si>
    <t xml:space="preserve">Name</t>
  </si>
  <si>
    <t xml:space="preserve">Definition tag / class</t>
  </si>
  <si>
    <t xml:space="preserve">Computable today</t>
  </si>
  <si>
    <t xml:space="preserve">Baseline (synthetic)</t>
  </si>
  <si>
    <t xml:space="preserve">Hub / after (sandbox)</t>
  </si>
  <si>
    <t xml:space="preserve">Comparability</t>
  </si>
  <si>
    <t xml:space="preserve">Epistemic status</t>
  </si>
  <si>
    <t xml:space="preserve">K-01</t>
  </si>
  <si>
    <t xml:space="preserve">Unsafe action count</t>
  </si>
  <si>
    <t xml:space="preserve">invariant_zero_required</t>
  </si>
  <si>
    <t xml:space="preserve">No</t>
  </si>
  <si>
    <t xml:space="preserve">{"value": "unknown"}</t>
  </si>
  <si>
    <t xml:space="preserve">Unknown</t>
  </si>
  <si>
    <t xml:space="preserve">verified_fact</t>
  </si>
  <si>
    <t xml:space="preserve">K-02</t>
  </si>
  <si>
    <t xml:space="preserve">Source attribution rate</t>
  </si>
  <si>
    <t xml:space="preserve">structural_proxy</t>
  </si>
  <si>
    <t xml:space="preserve">Yes</t>
  </si>
  <si>
    <t xml:space="preserve">{"value": 0.0, "unit": "percent", "numerator": 0, "denominator": 20}</t>
  </si>
  <si>
    <t xml:space="preserve">Baseline only</t>
  </si>
  <si>
    <t xml:space="preserve">K-03</t>
  </si>
  <si>
    <t xml:space="preserve">Definition transparency</t>
  </si>
  <si>
    <t xml:space="preserve">verified_by_inspection</t>
  </si>
  <si>
    <t xml:space="preserve">{"value": 0.0, "unit": "percent", "numerator": 0, "denominator": 6}</t>
  </si>
  <si>
    <t xml:space="preserve">Not like-for-like</t>
  </si>
  <si>
    <t xml:space="preserve">K-04-OPS</t>
  </si>
  <si>
    <t xml:space="preserve">Time to close (D-OPS)</t>
  </si>
  <si>
    <t xml:space="preserve">D-OPS</t>
  </si>
  <si>
    <t xml:space="preserve">K-04-EVID</t>
  </si>
  <si>
    <t xml:space="preserve">Time to close (D-EVID)</t>
  </si>
  <si>
    <t xml:space="preserve">D-EVID</t>
  </si>
  <si>
    <t xml:space="preserve">K-04-FIN</t>
  </si>
  <si>
    <t xml:space="preserve">Time to resolved (D-FIN)</t>
  </si>
  <si>
    <t xml:space="preserve">D-FIN</t>
  </si>
  <si>
    <t xml:space="preserve">unknown</t>
  </si>
  <si>
    <t xml:space="preserve">K-05</t>
  </si>
  <si>
    <t xml:space="preserve">Time to evidence</t>
  </si>
  <si>
    <t xml:space="preserve">{"value": "unknown", "proxies": "P-01 median 12.06 h / p90 25.62 h (n=20); P-02 median 2.90 h / p90 4.14 h (n=15). Generator-bounded proxies only."}</t>
  </si>
  <si>
    <t xml:space="preserve">K-06</t>
  </si>
  <si>
    <t xml:space="preserve">Unmatched reference rate</t>
  </si>
  <si>
    <t xml:space="preserve">definition_independent</t>
  </si>
  <si>
    <t xml:space="preserve">{"value": 97.98, "unit": "percent", "numerator": 8394, "denominator": 8567, "second_population": "policy_exceptions 99.11 % (222 of 224)", "note": "Generator-shaped residue: treat as method validation only."}</t>
  </si>
  <si>
    <t xml:space="preserve">K-07</t>
  </si>
  <si>
    <t xml:space="preserve">Replay safety</t>
  </si>
  <si>
    <t xml:space="preserve">{"value": "unknown", "note": "Legacy replay safety untested; 67 REPLAY rows exist."}</t>
  </si>
  <si>
    <t xml:space="preserve">{"value": 0, "note": "Hub verify-replay: re-delivered 8,567 rows, all NOOP_DUPLICATE, queue sizes and totals unchanged (8,516 before and after)."}</t>
  </si>
  <si>
    <t xml:space="preserve">K-08</t>
  </si>
  <si>
    <t xml:space="preserve">Reconciliation delay</t>
  </si>
  <si>
    <t xml:space="preserve">{"median_hours": 0.02, "p90_hours": 168, "within_4h_percent": 75.24, "negative_delay_percent": 26.1}</t>
  </si>
  <si>
    <t xml:space="preserve">K-09-OPS</t>
  </si>
  <si>
    <t xml:space="preserve">Backlog ageing and count (D-OPS)</t>
  </si>
  <si>
    <t xml:space="preserve">{"value": 89, "denominator": 125, "age_median_days": 565.1, "age_p90_days": 974.2, "by_site": {"BR-SP": 22, "DE-BY": 18, "GB-ENG": 14, "IN-BLR": 10, "JP-KN": 11, "US-TX": 14}}</t>
  </si>
  <si>
    <t xml:space="preserve">{"value": 89, "by_site": {"BR-SP": 22, "DE-BY": 18, "GB-ENG": 14, "IN-BLR": 10, "JP-KN": 11, "US-TX": 14}, "note": "Parity of a snapshot, not an improvement."}</t>
  </si>
  <si>
    <t xml:space="preserve">Parity only, not improvement</t>
  </si>
  <si>
    <t xml:space="preserve">K-09-EVID</t>
  </si>
  <si>
    <t xml:space="preserve">Backlog (D-EVID)</t>
  </si>
  <si>
    <t xml:space="preserve">{"value": "unknown", "upper_bound": "125 of 125"}</t>
  </si>
  <si>
    <t xml:space="preserve">K-09-FIN</t>
  </si>
  <si>
    <t xml:space="preserve">Backlog (D-FIN)</t>
  </si>
  <si>
    <t xml:space="preserve">K-09U</t>
  </si>
  <si>
    <t xml:space="preserve">Unresolved exception rate</t>
  </si>
  <si>
    <t xml:space="preserve">provisional_meaning_of_WAIVED_BLOCKED_unowned</t>
  </si>
  <si>
    <t xml:space="preserve">{"UE-1": {"value": 75.0, "numerator": 168, "denominator": 224}, "UE-2": {"value": 52.2, "numerator": 117, "denominator": 224}}</t>
  </si>
  <si>
    <t xml:space="preserve">K-10</t>
  </si>
  <si>
    <t xml:space="preserve">Month-end comparability</t>
  </si>
  <si>
    <t xml:space="preserve">definition_dependent_cutoff_unowned</t>
  </si>
  <si>
    <t xml:space="preserve">{"value": "8 of 36 months equal", "cases_vs_cost_cases": "125 vs 108", "sum_abs_diff": 51}</t>
  </si>
  <si>
    <t xml:space="preserve">K-11</t>
  </si>
  <si>
    <t xml:space="preserve">Decision recorded</t>
  </si>
  <si>
    <t xml:space="preserve">governance</t>
  </si>
  <si>
    <t xml:space="preserve">{"value": 0, "denominator": 2}</t>
  </si>
  <si>
    <t xml:space="preserve">{"value": 2, "denominator": 2, "note": "Both recorded as 'accepted open' (OD-22). It records that nobody decided; it is not a resolution."}</t>
  </si>
  <si>
    <t xml:space="preserve">K-12</t>
  </si>
  <si>
    <t xml:space="preserve">Handling effort per case</t>
  </si>
  <si>
    <t xml:space="preserve">denominator_is_operating_costs_not_cases</t>
  </si>
  <si>
    <t xml:space="preserve">{"value": 0.603}</t>
  </si>
  <si>
    <t xml:space="preserve">K-13</t>
  </si>
  <si>
    <t xml:space="preserve">Infrastructure cost per case</t>
  </si>
  <si>
    <t xml:space="preserve">cost_proxy_D-FIN_dependent</t>
  </si>
  <si>
    <t xml:space="preserve">{"value": 23.4}</t>
  </si>
  <si>
    <t xml:space="preserve">K-14</t>
  </si>
  <si>
    <t xml:space="preserve">Throughput</t>
  </si>
  <si>
    <t xml:space="preserve">{"value": 3.47, "window": "2023-01..2025-12"}</t>
  </si>
  <si>
    <t xml:space="preserve">K-15</t>
  </si>
  <si>
    <t xml:space="preserve">Rework (reopen) rate</t>
  </si>
  <si>
    <t xml:space="preserve">snapshot_proxy</t>
  </si>
  <si>
    <t xml:space="preserve">{"value": 6.4, "numerator": 8, "denominator": 125}</t>
  </si>
  <si>
    <t xml:space="preserve">K-16</t>
  </si>
  <si>
    <t xml:space="preserve">Manual-review share (by code rule)</t>
  </si>
  <si>
    <t xml:space="preserve">rule_derived</t>
  </si>
  <si>
    <t xml:space="preserve">{"value": 23.2, "numerator": 29, "denominator": 125}</t>
  </si>
  <si>
    <t xml:space="preserve">K-17</t>
  </si>
  <si>
    <t xml:space="preserve">Deviations closed without root cause</t>
  </si>
  <si>
    <t xml:space="preserve">quality</t>
  </si>
  <si>
    <t xml:space="preserve">{"value": 66.7, "numerator": 8, "denominator": 12}</t>
  </si>
  <si>
    <t xml:space="preserve">K-18</t>
  </si>
  <si>
    <t xml:space="preserve">CAPA overdue share</t>
  </si>
  <si>
    <t xml:space="preserve">{"value": 46.2, "numerator": 6, "denominator": 13}</t>
  </si>
  <si>
    <t xml:space="preserve">K-19</t>
  </si>
  <si>
    <t xml:space="preserve">Batch-run rejection / failure</t>
  </si>
  <si>
    <t xml:space="preserve">error</t>
  </si>
  <si>
    <t xml:space="preserve">{"value": "see Stage 4 baseline sheet", "population": "60 runs, 2021-01..2024"}</t>
  </si>
  <si>
    <t xml:space="preserve">K-20</t>
  </si>
  <si>
    <t xml:space="preserve">Upstream outage MTTR and open outages</t>
  </si>
  <si>
    <t xml:space="preserve">reliability</t>
  </si>
  <si>
    <t xml:space="preserve">{"value": "see Stage 4 baseline sheet", "population": "72 incidents, 2021-01-01..2024-04-22"}</t>
  </si>
  <si>
    <t xml:space="preserve">K-21</t>
  </si>
  <si>
    <t xml:space="preserve">Adoption</t>
  </si>
  <si>
    <t xml:space="preserve">not_measurable_pre_intervention</t>
  </si>
  <si>
    <t xml:space="preserve">{"value": 0, "numerator": 0, "denominator": 125, "note": "No production use exists."}</t>
  </si>
  <si>
    <t xml:space="preserve">K-22</t>
  </si>
  <si>
    <t xml:space="preserve">Rework effort</t>
  </si>
  <si>
    <t xml:space="preserve">{"value": "unknown", "note": "No rework time capture exists (LL-14)."}</t>
  </si>
  <si>
    <t xml:space="preserve">ID</t>
  </si>
  <si>
    <t xml:space="preserve">Lesson / what happened</t>
  </si>
  <si>
    <t xml:space="preserve">Evidence</t>
  </si>
  <si>
    <t xml:space="preserve">Class / implication</t>
  </si>
  <si>
    <t xml:space="preserve">Type</t>
  </si>
  <si>
    <t xml:space="preserve">LL-01</t>
  </si>
  <si>
    <t xml:space="preserve">Independent full regression before merge catches what build agents miss. Four late defects (S21-DEV-02, S24-DEV-05, S28-DEV-08, S31-DEV-08) were found by the orchestrator, not the author.</t>
  </si>
  <si>
    <t xml:space="preserve">OD-28, OD-32, OD-35, OD-36</t>
  </si>
  <si>
    <t xml:space="preserve">[Verified Fact]</t>
  </si>
  <si>
    <t xml:space="preserve">worked</t>
  </si>
  <si>
    <t xml:space="preserve">LL-02</t>
  </si>
  <si>
    <t xml:space="preserve">Declare thresholds before results and never edit them after. TEVV committed thresholds first (a42ffe6) and disclosed one earlier baseline run.</t>
  </si>
  <si>
    <t xml:space="preserve">tevv-results.md TR-0</t>
  </si>
  <si>
    <t xml:space="preserve">LL-03</t>
  </si>
  <si>
    <t xml:space="preserve">Sandbox-only execution with a checksum gate (OD-03a) protected the baseline across the whole engagement: rc 0 before and after every run.</t>
  </si>
  <si>
    <t xml:space="preserve">OD-03, OD-03a; Stage 16/26</t>
  </si>
  <si>
    <t xml:space="preserve">LL-04</t>
  </si>
  <si>
    <t xml:space="preserve">Safe defaults: everything consequential ships off. No cutover, holder, rule set or schedule could activate by accident.</t>
  </si>
  <si>
    <t xml:space="preserve">implementation-prd.md</t>
  </si>
  <si>
    <t xml:space="preserve">LL-05</t>
  </si>
  <si>
    <t xml:space="preserve">Characterisation before refactor. The harness (134/134) and mutation gate (15/15 vs the shipped suite's 1/15) made behaviour change visible.</t>
  </si>
  <si>
    <t xml:space="preserve">Stage 15/16</t>
  </si>
  <si>
    <t xml:space="preserve">LL-06</t>
  </si>
  <si>
    <t xml:space="preserve">Refusing to compute. Stage 36 refused ROI/NPV/payback rather than invent inputs; Stage 34 refused to call parity an improvement.</t>
  </si>
  <si>
    <t xml:space="preserve">Stages 34-36</t>
  </si>
  <si>
    <t xml:space="preserve">LL-07</t>
  </si>
  <si>
    <t xml:space="preserve">Qualifying AI out. The No-AI decision was argued from root causes, with re-qualification triggers instead of a closed door.</t>
  </si>
  <si>
    <t xml:space="preserve">Stage 8</t>
  </si>
  <si>
    <t xml:space="preserve">LL-08</t>
  </si>
  <si>
    <t xml:space="preserve">The baseline was synthetic and partly residue. 97.98 % of feed rows reference cases not in the database; no closure/evidence/effort timestamps exist; A-04-01 was refuted a stage later. Many KPIs ended Unknown.</t>
  </si>
  <si>
    <t xml:space="preserve">baseline-kpi-sheet.md; OD-07</t>
  </si>
  <si>
    <t xml:space="preserve">did not work</t>
  </si>
  <si>
    <t xml:space="preserve">LL-09</t>
  </si>
  <si>
    <t xml:space="preserve">Value was never quantified at framing. All five drivers stayed unquantified; Stage 36 had nothing to compute.</t>
  </si>
  <si>
    <t xml:space="preserve">value-hypothesis.md; benefit-assumptions.md</t>
  </si>
  <si>
    <t xml:space="preserve">LL-10</t>
  </si>
  <si>
    <t xml:space="preserve">No stakeholders existed. Every owner field says Dinesh; separation of duties is procedural; roles are VACANT.</t>
  </si>
  <si>
    <t xml:space="preserve">OD-04; raci.md</t>
  </si>
  <si>
    <t xml:space="preserve">LL-11</t>
  </si>
  <si>
    <t xml:space="preserve">Decisions pile up at one desk. Dozens of D-xx items, 40 approvals, unsigned walkthroughs; OD-32 default-answer authority helped scope but could not approve risk, holders or cutover.</t>
  </si>
  <si>
    <t xml:space="preserve">OD-32..OD-37</t>
  </si>
  <si>
    <t xml:space="preserve">LL-12</t>
  </si>
  <si>
    <t xml:space="preserve">Control built, not wired. Resilience mechanisms, CI hardening workflow and observability exports exist but do not run in the serve path. Protection on paper.</t>
  </si>
  <si>
    <t xml:space="preserve">OD-34, OD-35, OD-36; VL-04, VL-05</t>
  </si>
  <si>
    <t xml:space="preserve">LL-13</t>
  </si>
  <si>
    <t xml:space="preserve">"Test once" has a cost. It pushed defects to the merge-time regression and long group walls (S26 145 s, E26 174 s of a 180 s cap; full pass 2,403 s).</t>
  </si>
  <si>
    <t xml:space="preserve">tevv-results.md; token-leakage-analysis.md TL-03</t>
  </si>
  <si>
    <t xml:space="preserve">LL-14</t>
  </si>
  <si>
    <t xml:space="preserve">Rework effort was not recorded. We know defects happened; not what they cost.</t>
  </si>
  <si>
    <t xml:space="preserve">VL-15, VL-17</t>
  </si>
  <si>
    <t xml:space="preserve">LL-15</t>
  </si>
  <si>
    <t xml:space="preserve">Documents drifted from code and from each other. FR counts 43/9 vs 41/11; ADR-018 vs pyproject; 28-resilience vs 28-reliability; Stage 25 matrix stale after Stages 23/24; Stage 4 sheet not updated for A-04-01.</t>
  </si>
  <si>
    <t xml:space="preserve">OD-10; knowledge-drift-metrics.md; RP-10</t>
  </si>
  <si>
    <t xml:space="preserve">LL-16</t>
  </si>
  <si>
    <t xml:space="preserve">Prompt/path mismatches (stage prompt paths vs repo folders) cost time and had to be recorded as deviations.</t>
  </si>
  <si>
    <t xml:space="preserve">S28-DEV-05; Stage 42 deviation</t>
  </si>
  <si>
    <t xml:space="preserve">LL-17</t>
  </si>
  <si>
    <t xml:space="preserve">Severity and thresholds were agent-assigned. High/Medium ratings and SLO numbers are agent inference/assumptions, easy to mistake for approved.</t>
  </si>
  <si>
    <t xml:space="preserve">OD-33, OD-36</t>
  </si>
  <si>
    <t xml:space="preserve">LL-18</t>
  </si>
  <si>
    <t xml:space="preserve">Environment drift hit tests: Node patch version (CT-13), Python 3.10 vs 3.13 goldens.</t>
  </si>
  <si>
    <t xml:space="preserve">S24-DEV-04; OD-23</t>
  </si>
  <si>
    <t xml:space="preserve">Question</t>
  </si>
  <si>
    <t xml:space="preserve">Defensible answer</t>
  </si>
  <si>
    <t xml:space="preserve">Basis</t>
  </si>
  <si>
    <t xml:space="preserve">Q1</t>
  </si>
  <si>
    <t xml:space="preserve">What is the ROI?</t>
  </si>
  <si>
    <t xml:space="preserve">Not computable. There are zero verified benefits, one of ten cost terms is measured (model spend USD 0 by design), and no discount rate exists. We will not offer a number.</t>
  </si>
  <si>
    <t xml:space="preserve">C-25</t>
  </si>
  <si>
    <t xml:space="preserve">Q2</t>
  </si>
  <si>
    <t xml:space="preserve">How much time or money does it save?</t>
  </si>
  <si>
    <t xml:space="preserve">Unknown, not yet measured. There is no after-window, no time capture, no labour rate and no volume. The only hours-per-case figure (0.603) is a generator estimate.</t>
  </si>
  <si>
    <t xml:space="preserve">C-21, C-26, C-03</t>
  </si>
  <si>
    <t xml:space="preserve">Q3</t>
  </si>
  <si>
    <t xml:space="preserve">Who is using it?</t>
  </si>
  <si>
    <t xml:space="preserve">Nobody. Adoption is 0 of 125 cases and there are 0 principals. It runs only in a sandbox.</t>
  </si>
  <si>
    <t xml:space="preserve">C-21</t>
  </si>
  <si>
    <t xml:space="preserve">Q4</t>
  </si>
  <si>
    <t xml:space="preserve">Why is it not live?</t>
  </si>
  <si>
    <t xml:space="preserve">The release gate is BLOCKED by design: 0 of 40 required human approvals, golden comparison fails until 11 behaviour differences are decided, monitoring has no persisted metrics or alerts, and High findings lack recorded decisions.</t>
  </si>
  <si>
    <t xml:space="preserve">C-19</t>
  </si>
  <si>
    <t xml:space="preserve">Q5</t>
  </si>
  <si>
    <t xml:space="preserve">The dashboards say parity. Is that good?</t>
  </si>
  <si>
    <t xml:space="preserve">Parity means the hub reproduces the legacy count from an imported copy of the same data. It is not improvement. We claim no improvement.</t>
  </si>
  <si>
    <t xml:space="preserve">C-22</t>
  </si>
  <si>
    <t xml:space="preserve">Q6</t>
  </si>
  <si>
    <t xml:space="preserve">Are the baseline numbers real?</t>
  </si>
  <si>
    <t xml:space="preserve">No. They are measured on a synthetic, test-residue database. 97.98 % of partner-feed rows reference cases that do not exist in it. They validate the method only.</t>
  </si>
  <si>
    <t xml:space="preserve">C-03</t>
  </si>
  <si>
    <t xml:space="preserve">Q7</t>
  </si>
  <si>
    <t xml:space="preserve">Why no AI? Is that a failure of ambition?</t>
  </si>
  <si>
    <t xml:space="preserve">The root causes are missing owners, keys and records; AI cannot supply an owner, and an LLM consumer adds an injection risk (86 feed rows and 22 of 1,200 documents carry instruction-like strings). AI can be re-qualified through RQ-1..RQ-3 if real documents and a measured keyword-search shortfall appear.</t>
  </si>
  <si>
    <t xml:space="preserve">C-05</t>
  </si>
  <si>
    <t xml:space="preserve">Q8</t>
  </si>
  <si>
    <t xml:space="preserve">Is it GxP / Part 11 compliant?</t>
  </si>
  <si>
    <t xml:space="preserve">We make no compliance claim. Part 11 is framing only; no regulation clause or auditor requirement beyond what earlier stages cite was added.</t>
  </si>
  <si>
    <t xml:space="preserve">C-28</t>
  </si>
  <si>
    <t xml:space="preserve">Q9</t>
  </si>
  <si>
    <t xml:space="preserve">Is it secure?</t>
  </si>
  <si>
    <t xml:space="preserve">Secure enough for synthetic data on loopback in shadow mode, no more. No TLS, single-factor passwords, 16 residual risks open, no external penetration test. It must not take real data or network exposure yet.</t>
  </si>
  <si>
    <t xml:space="preserve">C-13</t>
  </si>
  <si>
    <t xml:space="preserve">Q10</t>
  </si>
  <si>
    <t xml:space="preserve">What did testing find?</t>
  </si>
  <si>
    <t xml:space="preserve">11 findings, one High; seven fixed in Stage 27, three test gaps closed (the three surviving mutants were killed: 13 of 13), one open plus nine complex functions. Mutation sampling covers only 13 chosen mutants. Reviewer walkthroughs are unsigned.</t>
  </si>
  <si>
    <t xml:space="preserve">C-14, C-15</t>
  </si>
  <si>
    <t xml:space="preserve">Q11</t>
  </si>
  <si>
    <t xml:space="preserve">Who owns it after you leave?</t>
  </si>
  <si>
    <t xml:space="preserve">No one yet. 0 of 28 assets have an accepted owner; 17 of 24 accountable roles are vacant; Dinesh is interim owner of record, not an accepting owner.</t>
  </si>
  <si>
    <t xml:space="preserve">C-27</t>
  </si>
  <si>
    <t xml:space="preserve">Q12</t>
  </si>
  <si>
    <t xml:space="preserve">What if Dinesh is unavailable?</t>
  </si>
  <si>
    <t xml:space="preserve">Single point of failure and single approver. This is a recorded risk (RP-01, DQ-17); no second reviewer is appointed.</t>
  </si>
  <si>
    <t xml:space="preserve">C-27, C-28</t>
  </si>
  <si>
    <t xml:space="preserve">Q13</t>
  </si>
  <si>
    <t xml:space="preserve">What does it cost?</t>
  </si>
  <si>
    <t xml:space="preserve">Unknown. Only assumption ranges exist (gross 3-year, USD 7,920-22,800 for the deterministic scenario, 13,440-39,000 for the larger one), built on an unvalidated USD 300/day rate and excluding toolchain, oversight, validation, exit, parallel-running and adoption costs.</t>
  </si>
  <si>
    <t xml:space="preserve">Q14</t>
  </si>
  <si>
    <t xml:space="preserve">Could the build have gone wrong silently?</t>
  </si>
  <si>
    <t xml:space="preserve">It went wrong several times and was caught: four late-found defects in the orchestrator's full regression, one a real No-AI violation in a test helper. The control worked; the rework hours were not recorded.</t>
  </si>
  <si>
    <t xml:space="preserve">C-31</t>
  </si>
  <si>
    <t xml:space="preserve">Q15</t>
  </si>
  <si>
    <t xml:space="preserve">Does it still behave like the legacy system?</t>
  </si>
  <si>
    <t xml:space="preserve">Yes where tested: characterisation 134/134 at Stage 16, 15/15 mutants killed, 0 unexplained differences; 11 differences are deliberate and unapproved. CT-13 fails only on a Node patch-version drift.</t>
  </si>
  <si>
    <t xml:space="preserve">C-09</t>
  </si>
  <si>
    <t xml:space="preserve">Q16</t>
  </si>
  <si>
    <t xml:space="preserve">What is the earliest you can show value?</t>
  </si>
  <si>
    <t xml:space="preserve">Not within 90 days with certainty. The roadmap reaches at most a limited-entry decision, needs 17 unmet pre-conditions closed first, and may still end at "ROI not computable" if the pilot window is too short.</t>
  </si>
  <si>
    <t xml:space="preserve">C-29</t>
  </si>
  <si>
    <t xml:space="preserve">Q17</t>
  </si>
  <si>
    <t xml:space="preserve">Are the SLOs a commitment?</t>
  </si>
  <si>
    <t xml:space="preserve">No. Five SLO candidates, no SLA, thresholds are agent assumptions.</t>
  </si>
  <si>
    <t xml:space="preserve">C-18</t>
  </si>
  <si>
    <t xml:space="preserve">Q18</t>
  </si>
  <si>
    <t xml:space="preserve">Which vendors do we depend on?</t>
  </si>
  <si>
    <t xml:space="preserve">At build time: the AI coding assistant, code host and cloud workspace. At run time: Python and SQLite only. Vendor acceptances VA-01..VA-07 are proposed, not accepted.</t>
  </si>
  <si>
    <t xml:space="preserve">C-33, C-10</t>
  </si>
  <si>
    <t xml:space="preserve">Q19</t>
  </si>
  <si>
    <t xml:space="preserve">What were the data origins?</t>
  </si>
  <si>
    <t xml:space="preserve">Synthetic: the shipped 125-case database (sha256 c254649f...d70aa, seed 4100, confirmed by Dinesh in OD-09). No real data has touched the hub.</t>
  </si>
  <si>
    <t xml:space="preserve">C-03, OD-09</t>
  </si>
  <si>
    <t xml:space="preserve">Q20</t>
  </si>
  <si>
    <t xml:space="preserve">Are Stage 38 (handover) and Stage 41 (retirement) done?</t>
  </si>
  <si>
    <t xml:space="preserve">No. Those documents do not exist at main b1de232.</t>
  </si>
  <si>
    <t xml:space="preserve">Minutes</t>
  </si>
  <si>
    <t xml:space="preserve">Segment</t>
  </si>
  <si>
    <t xml:space="preserve">Material</t>
  </si>
  <si>
    <t xml:space="preserve">0-2</t>
  </si>
  <si>
    <t xml:space="preserve">Frame: synthetic, not released, value unproven</t>
  </si>
  <si>
    <t xml:space="preserve">Opening slide</t>
  </si>
  <si>
    <t xml:space="preserve">Exec narrative EN-2</t>
  </si>
  <si>
    <t xml:space="preserve">2-6</t>
  </si>
  <si>
    <t xml:space="preserve">Problem and root causes (RC-1..RC-8), month-end 742,956.61 vs 622,826.44</t>
  </si>
  <si>
    <t xml:space="preserve">Confirmed root causes</t>
  </si>
  <si>
    <t xml:space="preserve">C-02</t>
  </si>
  <si>
    <t xml:space="preserve">6-10</t>
  </si>
  <si>
    <t xml:space="preserve">Journey: 42-stage spine, adaptations, decision discipline</t>
  </si>
  <si>
    <t xml:space="preserve">Spine log</t>
  </si>
  <si>
    <t xml:space="preserve">C-05..C-06</t>
  </si>
  <si>
    <t xml:space="preserve">10-14</t>
  </si>
  <si>
    <t xml:space="preserve">Why no GenAI (qualification) and where AI helped build</t>
  </si>
  <si>
    <t xml:space="preserve">AI decision defence</t>
  </si>
  <si>
    <t xml:space="preserve">14-18</t>
  </si>
  <si>
    <t xml:space="preserve">Architecture and controls (Zone H, hash chain, shadow mode)</t>
  </si>
  <si>
    <t xml:space="preserve">Architecture defence</t>
  </si>
  <si>
    <t xml:space="preserve">C-07..C-12</t>
  </si>
  <si>
    <t xml:space="preserve">18-28</t>
  </si>
  <si>
    <t xml:space="preserve">Live/recorded demo: refusals, audit verify, parity, blocked gate (see demo script)</t>
  </si>
  <si>
    <t xml:space="preserve">Evidence logs</t>
  </si>
  <si>
    <t xml:space="preserve">C-12, C-19</t>
  </si>
  <si>
    <t xml:space="preserve">28-33</t>
  </si>
  <si>
    <t xml:space="preserve">Before vs after KPIs (comparability classes)</t>
  </si>
  <si>
    <t xml:space="preserve">KPI Before-After sheet</t>
  </si>
  <si>
    <t xml:space="preserve">33-37</t>
  </si>
  <si>
    <t xml:space="preserve">Risks, residual risks, release status</t>
  </si>
  <si>
    <t xml:space="preserve">Risk summary</t>
  </si>
  <si>
    <t xml:space="preserve">37-40</t>
  </si>
  <si>
    <t xml:space="preserve">Five lessons and the ask (14 decisions)</t>
  </si>
  <si>
    <t xml:space="preserve">Lessons; NS-1</t>
  </si>
  <si>
    <t xml:space="preserve">NS-1</t>
  </si>
  <si>
    <t xml:space="preserve">40-50</t>
  </si>
  <si>
    <t xml:space="preserve">Q&amp;A (20 prepared answers)</t>
  </si>
  <si>
    <t xml:space="preserve">Hard Q&amp;A sheet</t>
  </si>
  <si>
    <t xml:space="preserve">PROPOSED 40+10 structure. The repo's own demo script (docs/42) covers 15-20 minutes of this; the rest is new and needs your confirmation.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</si>
</sst>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C6EFCE"/>
        <bgColor rgb="FFD9D9D9"/>
      </patternFill>
    </fill>
    <fill>
      <patternFill patternType="solid">
        <fgColor rgb="FFFFEB9C"/>
        <bgColor rgb="FFFFFFCC"/>
      </patternFill>
    </fill>
    <fill>
      <patternFill patternType="solid">
        <fgColor rgb="FFFFC7CE"/>
        <bgColor rgb="FFD9D9D9"/>
      </patternFill>
    </fill>
    <fill>
      <patternFill patternType="solid">
        <fgColor rgb="FFD9D9D9"/>
        <bgColor rgb="FFC6EFC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3" min="3" style="0" width="8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5</v>
      </c>
      <c r="B5" s="5" t="n">
        <f aca="false">COUNTIF('28 Guidelines'!$D$2:$D$29,A5)</f>
        <v>14</v>
      </c>
      <c r="C5" s="5" t="s">
        <v>6</v>
      </c>
    </row>
    <row r="6" customFormat="false" ht="15" hidden="false" customHeight="false" outlineLevel="0" collapsed="false">
      <c r="A6" s="6" t="s">
        <v>7</v>
      </c>
      <c r="B6" s="5" t="n">
        <f aca="false">COUNTIF('28 Guidelines'!$D$2:$D$29,A6)</f>
        <v>10</v>
      </c>
      <c r="C6" s="5" t="s">
        <v>8</v>
      </c>
    </row>
    <row r="7" customFormat="false" ht="15" hidden="false" customHeight="false" outlineLevel="0" collapsed="false">
      <c r="A7" s="7" t="s">
        <v>9</v>
      </c>
      <c r="B7" s="5" t="n">
        <f aca="false">COUNTIF('28 Guidelines'!$D$2:$D$29,A7)</f>
        <v>3</v>
      </c>
      <c r="C7" s="5" t="s">
        <v>10</v>
      </c>
    </row>
    <row r="8" customFormat="false" ht="15" hidden="false" customHeight="false" outlineLevel="0" collapsed="false">
      <c r="A8" s="8" t="s">
        <v>11</v>
      </c>
      <c r="B8" s="5" t="n">
        <f aca="false">COUNTIF('28 Guidelines'!$D$2:$D$29,A8)</f>
        <v>1</v>
      </c>
      <c r="C8" s="5" t="s">
        <v>12</v>
      </c>
    </row>
    <row r="9" customFormat="false" ht="15" hidden="false" customHeight="false" outlineLevel="0" collapsed="false">
      <c r="A9" s="9" t="s">
        <v>13</v>
      </c>
      <c r="B9" s="9" t="n">
        <f aca="false">SUM(B5:B8)</f>
        <v>28</v>
      </c>
      <c r="C9" s="9"/>
    </row>
    <row r="11" customFormat="false" ht="15" hidden="false" customHeight="false" outlineLevel="0" collapsed="false">
      <c r="A11" s="10" t="s">
        <v>14</v>
      </c>
    </row>
    <row r="12" customFormat="false" ht="15" hidden="false" customHeight="false" outlineLevel="0" collapsed="false">
      <c r="A12" s="5" t="s">
        <v>15</v>
      </c>
    </row>
    <row r="13" customFormat="false" ht="15" hidden="false" customHeight="false" outlineLevel="0" collapsed="false">
      <c r="A13" s="5" t="s">
        <v>16</v>
      </c>
    </row>
    <row r="14" customFormat="false" ht="15" hidden="false" customHeight="false" outlineLevel="0" collapsed="false">
      <c r="A14" s="5" t="s">
        <v>17</v>
      </c>
    </row>
    <row r="15" customFormat="false" ht="15" hidden="false" customHeight="false" outlineLevel="0" collapsed="false">
      <c r="A15" s="5" t="s">
        <v>18</v>
      </c>
    </row>
    <row r="16" customFormat="false" ht="15" hidden="false" customHeight="false" outlineLevel="0" collapsed="false">
      <c r="A16" s="5" t="s">
        <v>19</v>
      </c>
    </row>
    <row r="18" customFormat="false" ht="15" hidden="false" customHeight="false" outlineLevel="0" collapsed="false">
      <c r="A18" s="2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26"/>
    <col collapsed="false" customWidth="true" hidden="false" outlineLevel="0" max="4" min="4" style="0" width="11"/>
    <col collapsed="false" customWidth="true" hidden="false" outlineLevel="0" max="5" min="5" style="0" width="22"/>
    <col collapsed="false" customWidth="true" hidden="false" outlineLevel="0" max="6" min="6" style="0" width="45"/>
    <col collapsed="false" customWidth="true" hidden="false" outlineLevel="0" max="7" min="7" style="0" width="50"/>
    <col collapsed="false" customWidth="true" hidden="false" outlineLevel="0" max="8" min="8" style="0" width="45"/>
    <col collapsed="false" customWidth="true" hidden="false" outlineLevel="0" max="9" min="9" style="0" width="36"/>
    <col collapsed="false" customWidth="true" hidden="false" outlineLevel="0" max="10" min="10" style="0" width="14"/>
    <col collapsed="false" customWidth="true" hidden="false" outlineLevel="0" max="11" min="11" style="0" width="24"/>
  </cols>
  <sheetData>
    <row r="1" customFormat="false" ht="15" hidden="false" customHeight="false" outlineLevel="0" collapsed="false">
      <c r="A1" s="11" t="s">
        <v>21</v>
      </c>
      <c r="B1" s="11" t="s">
        <v>22</v>
      </c>
      <c r="C1" s="11" t="s">
        <v>23</v>
      </c>
      <c r="D1" s="11" t="s">
        <v>2</v>
      </c>
      <c r="E1" s="11" t="s">
        <v>24</v>
      </c>
      <c r="F1" s="11" t="s">
        <v>25</v>
      </c>
      <c r="G1" s="11" t="s">
        <v>26</v>
      </c>
      <c r="H1" s="11" t="s">
        <v>27</v>
      </c>
      <c r="I1" s="11" t="s">
        <v>28</v>
      </c>
      <c r="J1" s="11" t="s">
        <v>29</v>
      </c>
      <c r="K1" s="11" t="s">
        <v>30</v>
      </c>
    </row>
    <row r="2" customFormat="false" ht="35.05" hidden="false" customHeight="false" outlineLevel="0" collapsed="false">
      <c r="A2" s="12" t="s">
        <v>31</v>
      </c>
      <c r="B2" s="12" t="s">
        <v>32</v>
      </c>
      <c r="C2" s="12" t="s">
        <v>33</v>
      </c>
      <c r="D2" s="13" t="s">
        <v>5</v>
      </c>
      <c r="E2" s="12" t="s">
        <v>5</v>
      </c>
      <c r="F2" s="12" t="s">
        <v>34</v>
      </c>
      <c r="G2" s="12" t="s">
        <v>35</v>
      </c>
      <c r="H2" s="12" t="s">
        <v>36</v>
      </c>
      <c r="I2" s="12" t="s">
        <v>37</v>
      </c>
      <c r="J2" s="12"/>
      <c r="K2" s="12"/>
    </row>
    <row r="3" customFormat="false" ht="68.65" hidden="false" customHeight="false" outlineLevel="0" collapsed="false">
      <c r="A3" s="12" t="s">
        <v>38</v>
      </c>
      <c r="B3" s="12" t="s">
        <v>32</v>
      </c>
      <c r="C3" s="12" t="s">
        <v>39</v>
      </c>
      <c r="D3" s="13" t="s">
        <v>5</v>
      </c>
      <c r="E3" s="12" t="s">
        <v>5</v>
      </c>
      <c r="F3" s="12" t="s">
        <v>40</v>
      </c>
      <c r="G3" s="12" t="s">
        <v>41</v>
      </c>
      <c r="H3" s="12" t="s">
        <v>42</v>
      </c>
      <c r="I3" s="12" t="s">
        <v>43</v>
      </c>
      <c r="J3" s="12"/>
      <c r="K3" s="12"/>
    </row>
    <row r="4" customFormat="false" ht="57.45" hidden="false" customHeight="false" outlineLevel="0" collapsed="false">
      <c r="A4" s="12" t="s">
        <v>44</v>
      </c>
      <c r="B4" s="12" t="s">
        <v>32</v>
      </c>
      <c r="C4" s="12" t="s">
        <v>45</v>
      </c>
      <c r="D4" s="14" t="s">
        <v>7</v>
      </c>
      <c r="E4" s="12" t="s">
        <v>7</v>
      </c>
      <c r="F4" s="12" t="s">
        <v>46</v>
      </c>
      <c r="G4" s="12" t="s">
        <v>47</v>
      </c>
      <c r="H4" s="12" t="s">
        <v>48</v>
      </c>
      <c r="I4" s="12" t="s">
        <v>49</v>
      </c>
      <c r="J4" s="12"/>
      <c r="K4" s="12"/>
    </row>
    <row r="5" customFormat="false" ht="35.05" hidden="false" customHeight="false" outlineLevel="0" collapsed="false">
      <c r="A5" s="12" t="s">
        <v>50</v>
      </c>
      <c r="B5" s="12" t="s">
        <v>32</v>
      </c>
      <c r="C5" s="12" t="s">
        <v>51</v>
      </c>
      <c r="D5" s="15" t="s">
        <v>11</v>
      </c>
      <c r="E5" s="12" t="s">
        <v>11</v>
      </c>
      <c r="F5" s="12" t="s">
        <v>52</v>
      </c>
      <c r="G5" s="12" t="s">
        <v>53</v>
      </c>
      <c r="H5" s="12" t="s">
        <v>54</v>
      </c>
      <c r="I5" s="12" t="s">
        <v>55</v>
      </c>
      <c r="J5" s="12"/>
      <c r="K5" s="12"/>
    </row>
    <row r="6" customFormat="false" ht="35.05" hidden="false" customHeight="false" outlineLevel="0" collapsed="false">
      <c r="A6" s="12" t="s">
        <v>56</v>
      </c>
      <c r="B6" s="12" t="s">
        <v>32</v>
      </c>
      <c r="C6" s="12" t="s">
        <v>57</v>
      </c>
      <c r="D6" s="14" t="s">
        <v>7</v>
      </c>
      <c r="E6" s="12" t="s">
        <v>7</v>
      </c>
      <c r="F6" s="12" t="s">
        <v>58</v>
      </c>
      <c r="G6" s="12" t="s">
        <v>59</v>
      </c>
      <c r="H6" s="12" t="s">
        <v>60</v>
      </c>
      <c r="I6" s="12" t="s">
        <v>61</v>
      </c>
      <c r="J6" s="12"/>
      <c r="K6" s="12"/>
    </row>
    <row r="7" customFormat="false" ht="35.05" hidden="false" customHeight="false" outlineLevel="0" collapsed="false">
      <c r="A7" s="12" t="s">
        <v>62</v>
      </c>
      <c r="B7" s="12" t="s">
        <v>32</v>
      </c>
      <c r="C7" s="12" t="s">
        <v>63</v>
      </c>
      <c r="D7" s="16" t="s">
        <v>9</v>
      </c>
      <c r="E7" s="12" t="s">
        <v>64</v>
      </c>
      <c r="F7" s="12" t="s">
        <v>65</v>
      </c>
      <c r="G7" s="12" t="s">
        <v>66</v>
      </c>
      <c r="H7" s="12" t="s">
        <v>67</v>
      </c>
      <c r="I7" s="12" t="s">
        <v>68</v>
      </c>
      <c r="J7" s="12"/>
      <c r="K7" s="12"/>
    </row>
    <row r="8" customFormat="false" ht="46.25" hidden="false" customHeight="false" outlineLevel="0" collapsed="false">
      <c r="A8" s="12" t="s">
        <v>69</v>
      </c>
      <c r="B8" s="12" t="s">
        <v>32</v>
      </c>
      <c r="C8" s="12" t="s">
        <v>70</v>
      </c>
      <c r="D8" s="14" t="s">
        <v>7</v>
      </c>
      <c r="E8" s="12" t="s">
        <v>7</v>
      </c>
      <c r="F8" s="12" t="s">
        <v>71</v>
      </c>
      <c r="G8" s="12" t="s">
        <v>72</v>
      </c>
      <c r="H8" s="12" t="s">
        <v>73</v>
      </c>
      <c r="I8" s="12" t="s">
        <v>74</v>
      </c>
      <c r="J8" s="12"/>
      <c r="K8" s="12"/>
    </row>
    <row r="9" customFormat="false" ht="57.45" hidden="false" customHeight="false" outlineLevel="0" collapsed="false">
      <c r="A9" s="12" t="s">
        <v>75</v>
      </c>
      <c r="B9" s="12" t="s">
        <v>32</v>
      </c>
      <c r="C9" s="12" t="s">
        <v>76</v>
      </c>
      <c r="D9" s="13" t="s">
        <v>5</v>
      </c>
      <c r="E9" s="12" t="s">
        <v>77</v>
      </c>
      <c r="F9" s="12" t="s">
        <v>78</v>
      </c>
      <c r="G9" s="12" t="s">
        <v>79</v>
      </c>
      <c r="H9" s="12" t="s">
        <v>80</v>
      </c>
      <c r="I9" s="12" t="s">
        <v>81</v>
      </c>
      <c r="J9" s="12"/>
      <c r="K9" s="12"/>
    </row>
    <row r="10" customFormat="false" ht="35.05" hidden="false" customHeight="false" outlineLevel="0" collapsed="false">
      <c r="A10" s="12" t="s">
        <v>82</v>
      </c>
      <c r="B10" s="12" t="s">
        <v>32</v>
      </c>
      <c r="C10" s="12" t="s">
        <v>83</v>
      </c>
      <c r="D10" s="13" t="s">
        <v>5</v>
      </c>
      <c r="E10" s="12" t="s">
        <v>5</v>
      </c>
      <c r="F10" s="12" t="s">
        <v>84</v>
      </c>
      <c r="G10" s="12" t="s">
        <v>85</v>
      </c>
      <c r="H10" s="12" t="s">
        <v>86</v>
      </c>
      <c r="I10" s="12" t="s">
        <v>37</v>
      </c>
      <c r="J10" s="12"/>
      <c r="K10" s="12"/>
    </row>
    <row r="11" customFormat="false" ht="46.25" hidden="false" customHeight="false" outlineLevel="0" collapsed="false">
      <c r="A11" s="12" t="s">
        <v>87</v>
      </c>
      <c r="B11" s="12" t="s">
        <v>32</v>
      </c>
      <c r="C11" s="12" t="s">
        <v>88</v>
      </c>
      <c r="D11" s="13" t="s">
        <v>5</v>
      </c>
      <c r="E11" s="12" t="s">
        <v>5</v>
      </c>
      <c r="F11" s="12" t="s">
        <v>89</v>
      </c>
      <c r="G11" s="12" t="s">
        <v>90</v>
      </c>
      <c r="H11" s="12" t="s">
        <v>91</v>
      </c>
      <c r="I11" s="12" t="s">
        <v>92</v>
      </c>
      <c r="J11" s="12"/>
      <c r="K11" s="12"/>
    </row>
    <row r="12" customFormat="false" ht="35.05" hidden="false" customHeight="false" outlineLevel="0" collapsed="false">
      <c r="A12" s="12" t="s">
        <v>93</v>
      </c>
      <c r="B12" s="12" t="s">
        <v>32</v>
      </c>
      <c r="C12" s="12" t="s">
        <v>94</v>
      </c>
      <c r="D12" s="13" t="s">
        <v>5</v>
      </c>
      <c r="E12" s="12" t="s">
        <v>5</v>
      </c>
      <c r="F12" s="12" t="s">
        <v>95</v>
      </c>
      <c r="G12" s="12" t="s">
        <v>96</v>
      </c>
      <c r="H12" s="12" t="s">
        <v>97</v>
      </c>
      <c r="I12" s="12" t="s">
        <v>37</v>
      </c>
      <c r="J12" s="12"/>
      <c r="K12" s="12"/>
    </row>
    <row r="13" customFormat="false" ht="35.05" hidden="false" customHeight="false" outlineLevel="0" collapsed="false">
      <c r="A13" s="12" t="s">
        <v>98</v>
      </c>
      <c r="B13" s="12" t="s">
        <v>32</v>
      </c>
      <c r="C13" s="12" t="s">
        <v>99</v>
      </c>
      <c r="D13" s="13" t="s">
        <v>5</v>
      </c>
      <c r="E13" s="12" t="s">
        <v>100</v>
      </c>
      <c r="F13" s="12" t="s">
        <v>101</v>
      </c>
      <c r="G13" s="12" t="s">
        <v>102</v>
      </c>
      <c r="H13" s="12" t="s">
        <v>103</v>
      </c>
      <c r="I13" s="12" t="s">
        <v>37</v>
      </c>
      <c r="J13" s="12"/>
      <c r="K13" s="12"/>
    </row>
    <row r="14" customFormat="false" ht="35.05" hidden="false" customHeight="false" outlineLevel="0" collapsed="false">
      <c r="A14" s="12" t="s">
        <v>104</v>
      </c>
      <c r="B14" s="12" t="s">
        <v>32</v>
      </c>
      <c r="C14" s="12" t="s">
        <v>105</v>
      </c>
      <c r="D14" s="14" t="s">
        <v>7</v>
      </c>
      <c r="E14" s="12" t="s">
        <v>7</v>
      </c>
      <c r="F14" s="12" t="s">
        <v>106</v>
      </c>
      <c r="G14" s="12" t="s">
        <v>107</v>
      </c>
      <c r="H14" s="12" t="s">
        <v>108</v>
      </c>
      <c r="I14" s="12" t="s">
        <v>109</v>
      </c>
      <c r="J14" s="12"/>
      <c r="K14" s="12"/>
    </row>
    <row r="15" customFormat="false" ht="35.05" hidden="false" customHeight="false" outlineLevel="0" collapsed="false">
      <c r="A15" s="12" t="s">
        <v>110</v>
      </c>
      <c r="B15" s="12" t="s">
        <v>32</v>
      </c>
      <c r="C15" s="12" t="s">
        <v>111</v>
      </c>
      <c r="D15" s="14" t="s">
        <v>7</v>
      </c>
      <c r="E15" s="12" t="s">
        <v>112</v>
      </c>
      <c r="F15" s="12" t="s">
        <v>113</v>
      </c>
      <c r="G15" s="12" t="s">
        <v>114</v>
      </c>
      <c r="H15" s="12" t="s">
        <v>115</v>
      </c>
      <c r="I15" s="12" t="s">
        <v>116</v>
      </c>
      <c r="J15" s="12"/>
      <c r="K15" s="12"/>
    </row>
    <row r="16" customFormat="false" ht="35.05" hidden="false" customHeight="false" outlineLevel="0" collapsed="false">
      <c r="A16" s="12" t="s">
        <v>117</v>
      </c>
      <c r="B16" s="12" t="s">
        <v>32</v>
      </c>
      <c r="C16" s="12" t="s">
        <v>118</v>
      </c>
      <c r="D16" s="16" t="s">
        <v>9</v>
      </c>
      <c r="E16" s="12" t="s">
        <v>9</v>
      </c>
      <c r="F16" s="12" t="s">
        <v>119</v>
      </c>
      <c r="G16" s="12" t="s">
        <v>120</v>
      </c>
      <c r="H16" s="12" t="s">
        <v>121</v>
      </c>
      <c r="I16" s="12" t="s">
        <v>122</v>
      </c>
      <c r="J16" s="12"/>
      <c r="K16" s="12"/>
    </row>
    <row r="17" customFormat="false" ht="23.85" hidden="false" customHeight="false" outlineLevel="0" collapsed="false">
      <c r="A17" s="12" t="s">
        <v>123</v>
      </c>
      <c r="B17" s="12" t="s">
        <v>32</v>
      </c>
      <c r="C17" s="12" t="s">
        <v>124</v>
      </c>
      <c r="D17" s="14" t="s">
        <v>7</v>
      </c>
      <c r="E17" s="12" t="s">
        <v>7</v>
      </c>
      <c r="F17" s="12" t="s">
        <v>125</v>
      </c>
      <c r="G17" s="12" t="s">
        <v>126</v>
      </c>
      <c r="H17" s="12" t="s">
        <v>127</v>
      </c>
      <c r="I17" s="12" t="s">
        <v>128</v>
      </c>
      <c r="J17" s="12"/>
      <c r="K17" s="12"/>
    </row>
    <row r="18" customFormat="false" ht="46.25" hidden="false" customHeight="false" outlineLevel="0" collapsed="false">
      <c r="A18" s="12" t="s">
        <v>129</v>
      </c>
      <c r="B18" s="12" t="s">
        <v>32</v>
      </c>
      <c r="C18" s="12" t="s">
        <v>130</v>
      </c>
      <c r="D18" s="14" t="s">
        <v>7</v>
      </c>
      <c r="E18" s="12" t="s">
        <v>7</v>
      </c>
      <c r="F18" s="12" t="s">
        <v>131</v>
      </c>
      <c r="G18" s="12" t="s">
        <v>132</v>
      </c>
      <c r="H18" s="12" t="s">
        <v>133</v>
      </c>
      <c r="I18" s="12" t="s">
        <v>134</v>
      </c>
      <c r="J18" s="12"/>
      <c r="K18" s="12"/>
    </row>
    <row r="19" customFormat="false" ht="23.85" hidden="false" customHeight="false" outlineLevel="0" collapsed="false">
      <c r="A19" s="12" t="s">
        <v>135</v>
      </c>
      <c r="B19" s="12" t="s">
        <v>32</v>
      </c>
      <c r="C19" s="12" t="s">
        <v>136</v>
      </c>
      <c r="D19" s="13" t="s">
        <v>5</v>
      </c>
      <c r="E19" s="12" t="s">
        <v>5</v>
      </c>
      <c r="F19" s="12" t="s">
        <v>137</v>
      </c>
      <c r="G19" s="12" t="s">
        <v>138</v>
      </c>
      <c r="H19" s="12" t="s">
        <v>139</v>
      </c>
      <c r="I19" s="12" t="s">
        <v>37</v>
      </c>
      <c r="J19" s="12"/>
      <c r="K19" s="12"/>
    </row>
    <row r="20" customFormat="false" ht="23.85" hidden="false" customHeight="false" outlineLevel="0" collapsed="false">
      <c r="A20" s="12" t="s">
        <v>140</v>
      </c>
      <c r="B20" s="12" t="s">
        <v>141</v>
      </c>
      <c r="C20" s="12" t="s">
        <v>142</v>
      </c>
      <c r="D20" s="13" t="s">
        <v>5</v>
      </c>
      <c r="E20" s="12" t="s">
        <v>5</v>
      </c>
      <c r="F20" s="12" t="s">
        <v>143</v>
      </c>
      <c r="G20" s="12" t="s">
        <v>144</v>
      </c>
      <c r="H20" s="12" t="s">
        <v>145</v>
      </c>
      <c r="I20" s="12" t="s">
        <v>146</v>
      </c>
      <c r="J20" s="12"/>
      <c r="K20" s="12"/>
    </row>
    <row r="21" customFormat="false" ht="35.05" hidden="false" customHeight="false" outlineLevel="0" collapsed="false">
      <c r="A21" s="12" t="s">
        <v>147</v>
      </c>
      <c r="B21" s="12" t="s">
        <v>141</v>
      </c>
      <c r="C21" s="12" t="s">
        <v>148</v>
      </c>
      <c r="D21" s="13" t="s">
        <v>5</v>
      </c>
      <c r="E21" s="12" t="s">
        <v>149</v>
      </c>
      <c r="F21" s="12" t="s">
        <v>150</v>
      </c>
      <c r="G21" s="12" t="s">
        <v>151</v>
      </c>
      <c r="H21" s="12" t="s">
        <v>152</v>
      </c>
      <c r="I21" s="12" t="s">
        <v>37</v>
      </c>
      <c r="J21" s="12"/>
      <c r="K21" s="12"/>
    </row>
    <row r="22" customFormat="false" ht="23.85" hidden="false" customHeight="false" outlineLevel="0" collapsed="false">
      <c r="A22" s="12" t="s">
        <v>153</v>
      </c>
      <c r="B22" s="12" t="s">
        <v>141</v>
      </c>
      <c r="C22" s="12" t="s">
        <v>154</v>
      </c>
      <c r="D22" s="14" t="s">
        <v>7</v>
      </c>
      <c r="E22" s="12" t="s">
        <v>7</v>
      </c>
      <c r="F22" s="12" t="s">
        <v>155</v>
      </c>
      <c r="G22" s="12" t="s">
        <v>156</v>
      </c>
      <c r="H22" s="12" t="s">
        <v>157</v>
      </c>
      <c r="I22" s="12" t="s">
        <v>37</v>
      </c>
      <c r="J22" s="12"/>
      <c r="K22" s="12"/>
    </row>
    <row r="23" customFormat="false" ht="23.85" hidden="false" customHeight="false" outlineLevel="0" collapsed="false">
      <c r="A23" s="12" t="s">
        <v>158</v>
      </c>
      <c r="B23" s="12" t="s">
        <v>141</v>
      </c>
      <c r="C23" s="12" t="s">
        <v>159</v>
      </c>
      <c r="D23" s="13" t="s">
        <v>5</v>
      </c>
      <c r="E23" s="12" t="s">
        <v>5</v>
      </c>
      <c r="F23" s="12" t="s">
        <v>160</v>
      </c>
      <c r="G23" s="12" t="s">
        <v>161</v>
      </c>
      <c r="H23" s="12" t="s">
        <v>120</v>
      </c>
      <c r="I23" s="12" t="s">
        <v>37</v>
      </c>
      <c r="J23" s="12"/>
      <c r="K23" s="12"/>
    </row>
    <row r="24" customFormat="false" ht="35.05" hidden="false" customHeight="false" outlineLevel="0" collapsed="false">
      <c r="A24" s="12" t="s">
        <v>162</v>
      </c>
      <c r="B24" s="12" t="s">
        <v>141</v>
      </c>
      <c r="C24" s="12" t="s">
        <v>163</v>
      </c>
      <c r="D24" s="14" t="s">
        <v>7</v>
      </c>
      <c r="E24" s="12" t="s">
        <v>7</v>
      </c>
      <c r="F24" s="12" t="s">
        <v>164</v>
      </c>
      <c r="G24" s="12" t="s">
        <v>165</v>
      </c>
      <c r="H24" s="12" t="s">
        <v>166</v>
      </c>
      <c r="I24" s="12" t="s">
        <v>167</v>
      </c>
      <c r="J24" s="12"/>
      <c r="K24" s="12"/>
    </row>
    <row r="25" customFormat="false" ht="35.05" hidden="false" customHeight="false" outlineLevel="0" collapsed="false">
      <c r="A25" s="12" t="s">
        <v>168</v>
      </c>
      <c r="B25" s="12" t="s">
        <v>141</v>
      </c>
      <c r="C25" s="12" t="s">
        <v>169</v>
      </c>
      <c r="D25" s="16" t="s">
        <v>9</v>
      </c>
      <c r="E25" s="12" t="s">
        <v>170</v>
      </c>
      <c r="F25" s="12" t="s">
        <v>171</v>
      </c>
      <c r="G25" s="12" t="s">
        <v>172</v>
      </c>
      <c r="H25" s="12" t="s">
        <v>173</v>
      </c>
      <c r="I25" s="12" t="s">
        <v>174</v>
      </c>
      <c r="J25" s="12"/>
      <c r="K25" s="12"/>
    </row>
    <row r="26" customFormat="false" ht="23.85" hidden="false" customHeight="false" outlineLevel="0" collapsed="false">
      <c r="A26" s="12" t="s">
        <v>175</v>
      </c>
      <c r="B26" s="12" t="s">
        <v>141</v>
      </c>
      <c r="C26" s="12" t="s">
        <v>176</v>
      </c>
      <c r="D26" s="13" t="s">
        <v>5</v>
      </c>
      <c r="E26" s="12" t="s">
        <v>5</v>
      </c>
      <c r="F26" s="12" t="s">
        <v>177</v>
      </c>
      <c r="G26" s="12" t="s">
        <v>178</v>
      </c>
      <c r="H26" s="12" t="s">
        <v>179</v>
      </c>
      <c r="I26" s="12" t="s">
        <v>180</v>
      </c>
      <c r="J26" s="12"/>
      <c r="K26" s="12"/>
    </row>
    <row r="27" customFormat="false" ht="23.85" hidden="false" customHeight="false" outlineLevel="0" collapsed="false">
      <c r="A27" s="12" t="s">
        <v>181</v>
      </c>
      <c r="B27" s="12" t="s">
        <v>141</v>
      </c>
      <c r="C27" s="12" t="s">
        <v>182</v>
      </c>
      <c r="D27" s="13" t="s">
        <v>5</v>
      </c>
      <c r="E27" s="12" t="s">
        <v>5</v>
      </c>
      <c r="F27" s="12" t="s">
        <v>183</v>
      </c>
      <c r="G27" s="12" t="s">
        <v>184</v>
      </c>
      <c r="H27" s="12" t="s">
        <v>185</v>
      </c>
      <c r="I27" s="12" t="s">
        <v>37</v>
      </c>
      <c r="J27" s="12"/>
      <c r="K27" s="12"/>
    </row>
    <row r="28" customFormat="false" ht="46.25" hidden="false" customHeight="false" outlineLevel="0" collapsed="false">
      <c r="A28" s="12" t="s">
        <v>186</v>
      </c>
      <c r="B28" s="12" t="s">
        <v>141</v>
      </c>
      <c r="C28" s="12" t="s">
        <v>187</v>
      </c>
      <c r="D28" s="14" t="s">
        <v>7</v>
      </c>
      <c r="E28" s="12" t="s">
        <v>7</v>
      </c>
      <c r="F28" s="12" t="s">
        <v>188</v>
      </c>
      <c r="G28" s="12" t="s">
        <v>189</v>
      </c>
      <c r="H28" s="12" t="s">
        <v>190</v>
      </c>
      <c r="I28" s="12" t="s">
        <v>37</v>
      </c>
      <c r="J28" s="12"/>
      <c r="K28" s="12"/>
    </row>
    <row r="29" customFormat="false" ht="35.05" hidden="false" customHeight="false" outlineLevel="0" collapsed="false">
      <c r="A29" s="12" t="s">
        <v>191</v>
      </c>
      <c r="B29" s="12" t="s">
        <v>141</v>
      </c>
      <c r="C29" s="12" t="s">
        <v>192</v>
      </c>
      <c r="D29" s="13" t="s">
        <v>5</v>
      </c>
      <c r="E29" s="12" t="s">
        <v>5</v>
      </c>
      <c r="F29" s="12" t="s">
        <v>193</v>
      </c>
      <c r="G29" s="12" t="s">
        <v>194</v>
      </c>
      <c r="H29" s="12" t="s">
        <v>195</v>
      </c>
      <c r="I29" s="12" t="s">
        <v>37</v>
      </c>
      <c r="J29" s="12"/>
      <c r="K29" s="12"/>
    </row>
  </sheetData>
  <autoFilter ref="A1:K2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70"/>
    <col collapsed="false" customWidth="true" hidden="false" outlineLevel="0" max="3" min="3" style="0" width="40"/>
    <col collapsed="false" customWidth="true" hidden="false" outlineLevel="0" max="5" min="4" style="0" width="30"/>
    <col collapsed="false" customWidth="true" hidden="false" outlineLevel="0" max="6" min="6" style="0" width="16"/>
    <col collapsed="false" customWidth="true" hidden="false" outlineLevel="0" max="7" min="7" style="0" width="12"/>
  </cols>
  <sheetData>
    <row r="1" customFormat="false" ht="26.85" hidden="false" customHeight="false" outlineLevel="0" collapsed="false">
      <c r="A1" s="11" t="s">
        <v>21</v>
      </c>
      <c r="B1" s="11" t="s">
        <v>196</v>
      </c>
      <c r="C1" s="11" t="s">
        <v>197</v>
      </c>
      <c r="D1" s="11" t="s">
        <v>198</v>
      </c>
      <c r="E1" s="11" t="s">
        <v>199</v>
      </c>
      <c r="F1" s="11" t="s">
        <v>200</v>
      </c>
      <c r="G1" s="11" t="s">
        <v>201</v>
      </c>
    </row>
    <row r="2" customFormat="false" ht="23.85" hidden="false" customHeight="false" outlineLevel="0" collapsed="false">
      <c r="A2" s="12" t="s">
        <v>31</v>
      </c>
      <c r="B2" s="12" t="s">
        <v>202</v>
      </c>
      <c r="C2" s="12" t="s">
        <v>203</v>
      </c>
      <c r="D2" s="12" t="s">
        <v>204</v>
      </c>
      <c r="E2" s="12" t="s">
        <v>205</v>
      </c>
      <c r="F2" s="12" t="s">
        <v>206</v>
      </c>
      <c r="G2" s="12"/>
    </row>
    <row r="3" customFormat="false" ht="35.05" hidden="false" customHeight="false" outlineLevel="0" collapsed="false">
      <c r="A3" s="12" t="s">
        <v>38</v>
      </c>
      <c r="B3" s="12" t="s">
        <v>207</v>
      </c>
      <c r="C3" s="12" t="s">
        <v>208</v>
      </c>
      <c r="D3" s="12" t="s">
        <v>209</v>
      </c>
      <c r="E3" s="12" t="s">
        <v>210</v>
      </c>
      <c r="F3" s="12" t="s">
        <v>206</v>
      </c>
      <c r="G3" s="12"/>
    </row>
    <row r="4" customFormat="false" ht="15" hidden="false" customHeight="false" outlineLevel="0" collapsed="false">
      <c r="A4" s="12" t="s">
        <v>44</v>
      </c>
      <c r="B4" s="12" t="s">
        <v>211</v>
      </c>
      <c r="C4" s="12" t="s">
        <v>212</v>
      </c>
      <c r="D4" s="12" t="s">
        <v>213</v>
      </c>
      <c r="E4" s="12" t="s">
        <v>214</v>
      </c>
      <c r="F4" s="12" t="s">
        <v>206</v>
      </c>
      <c r="G4" s="12"/>
    </row>
    <row r="5" customFormat="false" ht="23.85" hidden="false" customHeight="false" outlineLevel="0" collapsed="false">
      <c r="A5" s="12" t="s">
        <v>50</v>
      </c>
      <c r="B5" s="12" t="s">
        <v>215</v>
      </c>
      <c r="C5" s="12" t="s">
        <v>216</v>
      </c>
      <c r="D5" s="12" t="s">
        <v>217</v>
      </c>
      <c r="E5" s="12" t="s">
        <v>218</v>
      </c>
      <c r="F5" s="12" t="s">
        <v>206</v>
      </c>
      <c r="G5" s="12"/>
    </row>
    <row r="6" customFormat="false" ht="23.85" hidden="false" customHeight="false" outlineLevel="0" collapsed="false">
      <c r="A6" s="12" t="s">
        <v>56</v>
      </c>
      <c r="B6" s="12" t="s">
        <v>219</v>
      </c>
      <c r="C6" s="12" t="s">
        <v>220</v>
      </c>
      <c r="D6" s="12" t="s">
        <v>221</v>
      </c>
      <c r="E6" s="12" t="s">
        <v>222</v>
      </c>
      <c r="F6" s="12" t="s">
        <v>206</v>
      </c>
      <c r="G6" s="12"/>
    </row>
    <row r="7" customFormat="false" ht="23.85" hidden="false" customHeight="false" outlineLevel="0" collapsed="false">
      <c r="A7" s="12" t="s">
        <v>62</v>
      </c>
      <c r="B7" s="12" t="s">
        <v>223</v>
      </c>
      <c r="C7" s="12" t="s">
        <v>224</v>
      </c>
      <c r="D7" s="12" t="s">
        <v>225</v>
      </c>
      <c r="E7" s="12" t="s">
        <v>226</v>
      </c>
      <c r="F7" s="12" t="s">
        <v>206</v>
      </c>
      <c r="G7" s="12"/>
    </row>
    <row r="8" customFormat="false" ht="15" hidden="false" customHeight="false" outlineLevel="0" collapsed="false">
      <c r="A8" s="12" t="s">
        <v>69</v>
      </c>
      <c r="B8" s="12" t="s">
        <v>227</v>
      </c>
      <c r="C8" s="12" t="s">
        <v>228</v>
      </c>
      <c r="D8" s="12" t="s">
        <v>229</v>
      </c>
      <c r="E8" s="12" t="s">
        <v>230</v>
      </c>
      <c r="F8" s="12" t="s">
        <v>206</v>
      </c>
      <c r="G8" s="12"/>
    </row>
    <row r="9" customFormat="false" ht="23.85" hidden="false" customHeight="false" outlineLevel="0" collapsed="false">
      <c r="A9" s="12" t="s">
        <v>75</v>
      </c>
      <c r="B9" s="12" t="s">
        <v>231</v>
      </c>
      <c r="C9" s="12" t="s">
        <v>232</v>
      </c>
      <c r="D9" s="12" t="s">
        <v>233</v>
      </c>
      <c r="E9" s="12" t="s">
        <v>234</v>
      </c>
      <c r="F9" s="12" t="s">
        <v>206</v>
      </c>
      <c r="G9" s="12"/>
    </row>
    <row r="10" customFormat="false" ht="23.85" hidden="false" customHeight="false" outlineLevel="0" collapsed="false">
      <c r="A10" s="12" t="s">
        <v>82</v>
      </c>
      <c r="B10" s="12" t="s">
        <v>235</v>
      </c>
      <c r="C10" s="12" t="s">
        <v>236</v>
      </c>
      <c r="D10" s="12" t="s">
        <v>237</v>
      </c>
      <c r="E10" s="12" t="s">
        <v>238</v>
      </c>
      <c r="F10" s="12" t="s">
        <v>206</v>
      </c>
      <c r="G10" s="12"/>
    </row>
    <row r="11" customFormat="false" ht="23.85" hidden="false" customHeight="false" outlineLevel="0" collapsed="false">
      <c r="A11" s="12" t="s">
        <v>87</v>
      </c>
      <c r="B11" s="12" t="s">
        <v>239</v>
      </c>
      <c r="C11" s="12" t="s">
        <v>240</v>
      </c>
      <c r="D11" s="12" t="s">
        <v>241</v>
      </c>
      <c r="E11" s="12" t="s">
        <v>242</v>
      </c>
      <c r="F11" s="12" t="s">
        <v>206</v>
      </c>
      <c r="G11" s="12"/>
    </row>
    <row r="12" customFormat="false" ht="23.85" hidden="false" customHeight="false" outlineLevel="0" collapsed="false">
      <c r="A12" s="12" t="s">
        <v>93</v>
      </c>
      <c r="B12" s="12" t="s">
        <v>243</v>
      </c>
      <c r="C12" s="12" t="s">
        <v>244</v>
      </c>
      <c r="D12" s="12" t="s">
        <v>245</v>
      </c>
      <c r="E12" s="12" t="s">
        <v>246</v>
      </c>
      <c r="F12" s="12" t="s">
        <v>206</v>
      </c>
      <c r="G12" s="12"/>
    </row>
    <row r="13" customFormat="false" ht="15" hidden="false" customHeight="false" outlineLevel="0" collapsed="false">
      <c r="A13" s="12" t="s">
        <v>98</v>
      </c>
      <c r="B13" s="12" t="s">
        <v>247</v>
      </c>
      <c r="C13" s="12" t="s">
        <v>248</v>
      </c>
      <c r="D13" s="12" t="s">
        <v>249</v>
      </c>
      <c r="E13" s="12" t="s">
        <v>218</v>
      </c>
      <c r="F13" s="12" t="s">
        <v>206</v>
      </c>
      <c r="G13" s="12"/>
    </row>
    <row r="14" customFormat="false" ht="23.85" hidden="false" customHeight="false" outlineLevel="0" collapsed="false">
      <c r="A14" s="12" t="s">
        <v>104</v>
      </c>
      <c r="B14" s="12" t="s">
        <v>250</v>
      </c>
      <c r="C14" s="12" t="s">
        <v>251</v>
      </c>
      <c r="D14" s="12" t="s">
        <v>252</v>
      </c>
      <c r="E14" s="12" t="s">
        <v>253</v>
      </c>
      <c r="F14" s="12" t="s">
        <v>206</v>
      </c>
      <c r="G14" s="12"/>
    </row>
    <row r="15" customFormat="false" ht="15" hidden="false" customHeight="false" outlineLevel="0" collapsed="false">
      <c r="A15" s="12" t="s">
        <v>110</v>
      </c>
      <c r="B15" s="12" t="s">
        <v>254</v>
      </c>
      <c r="C15" s="12" t="s">
        <v>255</v>
      </c>
      <c r="D15" s="12" t="s">
        <v>256</v>
      </c>
      <c r="E15" s="12" t="s">
        <v>257</v>
      </c>
      <c r="F15" s="12" t="s">
        <v>206</v>
      </c>
      <c r="G15" s="12"/>
    </row>
    <row r="16" customFormat="false" ht="23.85" hidden="false" customHeight="false" outlineLevel="0" collapsed="false">
      <c r="A16" s="17" t="s">
        <v>258</v>
      </c>
      <c r="B16" s="17" t="s">
        <v>259</v>
      </c>
      <c r="C16" s="17" t="s">
        <v>260</v>
      </c>
      <c r="D16" s="17"/>
      <c r="E16" s="17" t="s">
        <v>261</v>
      </c>
      <c r="F16" s="17" t="s">
        <v>206</v>
      </c>
      <c r="G16" s="17"/>
    </row>
    <row r="17" customFormat="false" ht="15" hidden="false" customHeight="false" outlineLevel="0" collapsed="false">
      <c r="A17" s="17" t="s">
        <v>262</v>
      </c>
      <c r="B17" s="17" t="s">
        <v>263</v>
      </c>
      <c r="C17" s="17" t="s">
        <v>264</v>
      </c>
      <c r="D17" s="17"/>
      <c r="E17" s="17" t="s">
        <v>265</v>
      </c>
      <c r="F17" s="17" t="s">
        <v>206</v>
      </c>
      <c r="G17" s="17"/>
    </row>
    <row r="18" customFormat="false" ht="23.85" hidden="false" customHeight="false" outlineLevel="0" collapsed="false">
      <c r="A18" s="17" t="s">
        <v>266</v>
      </c>
      <c r="B18" s="17" t="s">
        <v>267</v>
      </c>
      <c r="C18" s="17" t="s">
        <v>268</v>
      </c>
      <c r="D18" s="17"/>
      <c r="E18" s="17" t="s">
        <v>269</v>
      </c>
      <c r="F18" s="17" t="s">
        <v>206</v>
      </c>
      <c r="G18" s="17"/>
    </row>
  </sheetData>
  <autoFilter ref="A1:G1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4"/>
    <col collapsed="false" customWidth="true" hidden="false" outlineLevel="0" max="3" min="3" style="0" width="26"/>
    <col collapsed="false" customWidth="true" hidden="false" outlineLevel="0" max="4" min="4" style="0" width="12"/>
    <col collapsed="false" customWidth="true" hidden="false" outlineLevel="0" max="5" min="5" style="0" width="60"/>
    <col collapsed="false" customWidth="true" hidden="false" outlineLevel="0" max="6" min="6" style="0" width="55"/>
    <col collapsed="false" customWidth="true" hidden="false" outlineLevel="0" max="7" min="7" style="0" width="24"/>
    <col collapsed="false" customWidth="true" hidden="false" outlineLevel="0" max="8" min="8" style="0" width="14"/>
  </cols>
  <sheetData>
    <row r="1" customFormat="false" ht="39.55" hidden="false" customHeight="false" outlineLevel="0" collapsed="false">
      <c r="A1" s="11" t="s">
        <v>270</v>
      </c>
      <c r="B1" s="11" t="s">
        <v>271</v>
      </c>
      <c r="C1" s="11" t="s">
        <v>272</v>
      </c>
      <c r="D1" s="11" t="s">
        <v>273</v>
      </c>
      <c r="E1" s="11" t="s">
        <v>274</v>
      </c>
      <c r="F1" s="11" t="s">
        <v>275</v>
      </c>
      <c r="G1" s="11" t="s">
        <v>276</v>
      </c>
      <c r="H1" s="11" t="s">
        <v>277</v>
      </c>
    </row>
    <row r="2" customFormat="false" ht="15" hidden="false" customHeight="false" outlineLevel="0" collapsed="false">
      <c r="A2" s="12" t="s">
        <v>278</v>
      </c>
      <c r="B2" s="12" t="s">
        <v>279</v>
      </c>
      <c r="C2" s="12" t="s">
        <v>280</v>
      </c>
      <c r="D2" s="12" t="s">
        <v>281</v>
      </c>
      <c r="E2" s="12" t="s">
        <v>282</v>
      </c>
      <c r="F2" s="12"/>
      <c r="G2" s="12" t="s">
        <v>283</v>
      </c>
      <c r="H2" s="12" t="s">
        <v>284</v>
      </c>
    </row>
    <row r="3" customFormat="false" ht="15" hidden="false" customHeight="false" outlineLevel="0" collapsed="false">
      <c r="A3" s="12" t="s">
        <v>285</v>
      </c>
      <c r="B3" s="12" t="s">
        <v>286</v>
      </c>
      <c r="C3" s="12" t="s">
        <v>287</v>
      </c>
      <c r="D3" s="12" t="s">
        <v>288</v>
      </c>
      <c r="E3" s="12" t="s">
        <v>289</v>
      </c>
      <c r="F3" s="12"/>
      <c r="G3" s="12" t="s">
        <v>290</v>
      </c>
      <c r="H3" s="12" t="s">
        <v>284</v>
      </c>
    </row>
    <row r="4" customFormat="false" ht="15" hidden="false" customHeight="false" outlineLevel="0" collapsed="false">
      <c r="A4" s="12" t="s">
        <v>291</v>
      </c>
      <c r="B4" s="12" t="s">
        <v>292</v>
      </c>
      <c r="C4" s="12" t="s">
        <v>293</v>
      </c>
      <c r="D4" s="12" t="s">
        <v>288</v>
      </c>
      <c r="E4" s="12" t="s">
        <v>294</v>
      </c>
      <c r="F4" s="12"/>
      <c r="G4" s="12" t="s">
        <v>295</v>
      </c>
      <c r="H4" s="12" t="s">
        <v>284</v>
      </c>
    </row>
    <row r="5" customFormat="false" ht="15" hidden="false" customHeight="false" outlineLevel="0" collapsed="false">
      <c r="A5" s="12" t="s">
        <v>296</v>
      </c>
      <c r="B5" s="12" t="s">
        <v>297</v>
      </c>
      <c r="C5" s="12" t="s">
        <v>298</v>
      </c>
      <c r="D5" s="12" t="s">
        <v>281</v>
      </c>
      <c r="E5" s="12" t="s">
        <v>282</v>
      </c>
      <c r="F5" s="12"/>
      <c r="G5" s="12" t="s">
        <v>283</v>
      </c>
      <c r="H5" s="12" t="s">
        <v>284</v>
      </c>
    </row>
    <row r="6" customFormat="false" ht="15" hidden="false" customHeight="false" outlineLevel="0" collapsed="false">
      <c r="A6" s="12" t="s">
        <v>299</v>
      </c>
      <c r="B6" s="12" t="s">
        <v>300</v>
      </c>
      <c r="C6" s="12" t="s">
        <v>301</v>
      </c>
      <c r="D6" s="12" t="s">
        <v>281</v>
      </c>
      <c r="E6" s="12" t="s">
        <v>282</v>
      </c>
      <c r="F6" s="12"/>
      <c r="G6" s="12" t="s">
        <v>283</v>
      </c>
      <c r="H6" s="12" t="s">
        <v>284</v>
      </c>
    </row>
    <row r="7" customFormat="false" ht="15" hidden="false" customHeight="false" outlineLevel="0" collapsed="false">
      <c r="A7" s="12" t="s">
        <v>302</v>
      </c>
      <c r="B7" s="12" t="s">
        <v>303</v>
      </c>
      <c r="C7" s="12" t="s">
        <v>304</v>
      </c>
      <c r="D7" s="12" t="s">
        <v>281</v>
      </c>
      <c r="E7" s="12" t="s">
        <v>282</v>
      </c>
      <c r="F7" s="12"/>
      <c r="G7" s="12" t="s">
        <v>283</v>
      </c>
      <c r="H7" s="12" t="s">
        <v>305</v>
      </c>
    </row>
    <row r="8" customFormat="false" ht="35.05" hidden="false" customHeight="false" outlineLevel="0" collapsed="false">
      <c r="A8" s="12" t="s">
        <v>306</v>
      </c>
      <c r="B8" s="12" t="s">
        <v>307</v>
      </c>
      <c r="C8" s="12" t="s">
        <v>301</v>
      </c>
      <c r="D8" s="12" t="s">
        <v>281</v>
      </c>
      <c r="E8" s="12" t="s">
        <v>308</v>
      </c>
      <c r="F8" s="12"/>
      <c r="G8" s="12" t="s">
        <v>283</v>
      </c>
      <c r="H8" s="12" t="s">
        <v>284</v>
      </c>
    </row>
    <row r="9" customFormat="false" ht="35.05" hidden="false" customHeight="false" outlineLevel="0" collapsed="false">
      <c r="A9" s="12" t="s">
        <v>309</v>
      </c>
      <c r="B9" s="12" t="s">
        <v>310</v>
      </c>
      <c r="C9" s="12" t="s">
        <v>311</v>
      </c>
      <c r="D9" s="12" t="s">
        <v>288</v>
      </c>
      <c r="E9" s="12" t="s">
        <v>312</v>
      </c>
      <c r="F9" s="12"/>
      <c r="G9" s="12" t="s">
        <v>290</v>
      </c>
      <c r="H9" s="12" t="s">
        <v>284</v>
      </c>
    </row>
    <row r="10" customFormat="false" ht="35.05" hidden="false" customHeight="false" outlineLevel="0" collapsed="false">
      <c r="A10" s="12" t="s">
        <v>313</v>
      </c>
      <c r="B10" s="12" t="s">
        <v>314</v>
      </c>
      <c r="C10" s="12" t="s">
        <v>280</v>
      </c>
      <c r="D10" s="12" t="s">
        <v>288</v>
      </c>
      <c r="E10" s="12" t="s">
        <v>315</v>
      </c>
      <c r="F10" s="12" t="s">
        <v>316</v>
      </c>
      <c r="G10" s="12" t="s">
        <v>290</v>
      </c>
      <c r="H10" s="12" t="s">
        <v>284</v>
      </c>
    </row>
    <row r="11" customFormat="false" ht="23.85" hidden="false" customHeight="false" outlineLevel="0" collapsed="false">
      <c r="A11" s="12" t="s">
        <v>317</v>
      </c>
      <c r="B11" s="12" t="s">
        <v>318</v>
      </c>
      <c r="C11" s="12" t="s">
        <v>311</v>
      </c>
      <c r="D11" s="12" t="s">
        <v>288</v>
      </c>
      <c r="E11" s="12" t="s">
        <v>319</v>
      </c>
      <c r="F11" s="12"/>
      <c r="G11" s="12" t="s">
        <v>290</v>
      </c>
      <c r="H11" s="12" t="s">
        <v>284</v>
      </c>
    </row>
    <row r="12" customFormat="false" ht="35.05" hidden="false" customHeight="false" outlineLevel="0" collapsed="false">
      <c r="A12" s="12" t="s">
        <v>320</v>
      </c>
      <c r="B12" s="12" t="s">
        <v>321</v>
      </c>
      <c r="C12" s="12" t="s">
        <v>298</v>
      </c>
      <c r="D12" s="12" t="s">
        <v>288</v>
      </c>
      <c r="E12" s="12" t="s">
        <v>322</v>
      </c>
      <c r="F12" s="12" t="s">
        <v>323</v>
      </c>
      <c r="G12" s="12" t="s">
        <v>324</v>
      </c>
      <c r="H12" s="12" t="s">
        <v>284</v>
      </c>
    </row>
    <row r="13" customFormat="false" ht="15" hidden="false" customHeight="false" outlineLevel="0" collapsed="false">
      <c r="A13" s="12" t="s">
        <v>325</v>
      </c>
      <c r="B13" s="12" t="s">
        <v>326</v>
      </c>
      <c r="C13" s="12" t="s">
        <v>301</v>
      </c>
      <c r="D13" s="12" t="s">
        <v>281</v>
      </c>
      <c r="E13" s="12" t="s">
        <v>327</v>
      </c>
      <c r="F13" s="12"/>
      <c r="G13" s="12" t="s">
        <v>283</v>
      </c>
      <c r="H13" s="12" t="s">
        <v>284</v>
      </c>
    </row>
    <row r="14" customFormat="false" ht="15" hidden="false" customHeight="false" outlineLevel="0" collapsed="false">
      <c r="A14" s="12" t="s">
        <v>328</v>
      </c>
      <c r="B14" s="12" t="s">
        <v>329</v>
      </c>
      <c r="C14" s="12" t="s">
        <v>304</v>
      </c>
      <c r="D14" s="12" t="s">
        <v>281</v>
      </c>
      <c r="E14" s="12" t="s">
        <v>282</v>
      </c>
      <c r="F14" s="12"/>
      <c r="G14" s="12" t="s">
        <v>283</v>
      </c>
      <c r="H14" s="12" t="s">
        <v>305</v>
      </c>
    </row>
    <row r="15" customFormat="false" ht="23.85" hidden="false" customHeight="false" outlineLevel="0" collapsed="false">
      <c r="A15" s="12" t="s">
        <v>330</v>
      </c>
      <c r="B15" s="12" t="s">
        <v>331</v>
      </c>
      <c r="C15" s="12" t="s">
        <v>332</v>
      </c>
      <c r="D15" s="12" t="s">
        <v>288</v>
      </c>
      <c r="E15" s="12" t="s">
        <v>333</v>
      </c>
      <c r="F15" s="12"/>
      <c r="G15" s="12" t="s">
        <v>290</v>
      </c>
      <c r="H15" s="12" t="s">
        <v>284</v>
      </c>
    </row>
    <row r="16" customFormat="false" ht="23.85" hidden="false" customHeight="false" outlineLevel="0" collapsed="false">
      <c r="A16" s="12" t="s">
        <v>334</v>
      </c>
      <c r="B16" s="12" t="s">
        <v>335</v>
      </c>
      <c r="C16" s="12" t="s">
        <v>336</v>
      </c>
      <c r="D16" s="12" t="s">
        <v>288</v>
      </c>
      <c r="E16" s="12" t="s">
        <v>337</v>
      </c>
      <c r="F16" s="12"/>
      <c r="G16" s="12" t="s">
        <v>290</v>
      </c>
      <c r="H16" s="12" t="s">
        <v>284</v>
      </c>
    </row>
    <row r="17" customFormat="false" ht="35.05" hidden="false" customHeight="false" outlineLevel="0" collapsed="false">
      <c r="A17" s="12" t="s">
        <v>338</v>
      </c>
      <c r="B17" s="12" t="s">
        <v>339</v>
      </c>
      <c r="C17" s="12" t="s">
        <v>340</v>
      </c>
      <c r="D17" s="12" t="s">
        <v>288</v>
      </c>
      <c r="E17" s="12" t="s">
        <v>341</v>
      </c>
      <c r="F17" s="12" t="s">
        <v>342</v>
      </c>
      <c r="G17" s="12" t="s">
        <v>290</v>
      </c>
      <c r="H17" s="12" t="s">
        <v>284</v>
      </c>
    </row>
    <row r="18" customFormat="false" ht="23.85" hidden="false" customHeight="false" outlineLevel="0" collapsed="false">
      <c r="A18" s="12" t="s">
        <v>343</v>
      </c>
      <c r="B18" s="12" t="s">
        <v>344</v>
      </c>
      <c r="C18" s="12" t="s">
        <v>345</v>
      </c>
      <c r="D18" s="12" t="s">
        <v>288</v>
      </c>
      <c r="E18" s="12" t="s">
        <v>346</v>
      </c>
      <c r="F18" s="12"/>
      <c r="G18" s="12" t="s">
        <v>290</v>
      </c>
      <c r="H18" s="12" t="s">
        <v>284</v>
      </c>
    </row>
    <row r="19" customFormat="false" ht="15" hidden="false" customHeight="false" outlineLevel="0" collapsed="false">
      <c r="A19" s="12" t="s">
        <v>347</v>
      </c>
      <c r="B19" s="12" t="s">
        <v>348</v>
      </c>
      <c r="C19" s="12" t="s">
        <v>349</v>
      </c>
      <c r="D19" s="12" t="s">
        <v>288</v>
      </c>
      <c r="E19" s="12" t="s">
        <v>350</v>
      </c>
      <c r="F19" s="12"/>
      <c r="G19" s="12" t="s">
        <v>290</v>
      </c>
      <c r="H19" s="12" t="s">
        <v>284</v>
      </c>
    </row>
    <row r="20" customFormat="false" ht="15" hidden="false" customHeight="false" outlineLevel="0" collapsed="false">
      <c r="A20" s="12" t="s">
        <v>351</v>
      </c>
      <c r="B20" s="12" t="s">
        <v>352</v>
      </c>
      <c r="C20" s="12" t="s">
        <v>311</v>
      </c>
      <c r="D20" s="12" t="s">
        <v>288</v>
      </c>
      <c r="E20" s="12" t="s">
        <v>353</v>
      </c>
      <c r="F20" s="12"/>
      <c r="G20" s="12" t="s">
        <v>290</v>
      </c>
      <c r="H20" s="12" t="s">
        <v>284</v>
      </c>
    </row>
    <row r="21" customFormat="false" ht="15" hidden="false" customHeight="false" outlineLevel="0" collapsed="false">
      <c r="A21" s="12" t="s">
        <v>354</v>
      </c>
      <c r="B21" s="12" t="s">
        <v>355</v>
      </c>
      <c r="C21" s="12" t="s">
        <v>356</v>
      </c>
      <c r="D21" s="12" t="s">
        <v>288</v>
      </c>
      <c r="E21" s="12" t="s">
        <v>357</v>
      </c>
      <c r="F21" s="12"/>
      <c r="G21" s="12" t="s">
        <v>290</v>
      </c>
      <c r="H21" s="12" t="s">
        <v>284</v>
      </c>
    </row>
    <row r="22" customFormat="false" ht="15" hidden="false" customHeight="false" outlineLevel="0" collapsed="false">
      <c r="A22" s="12" t="s">
        <v>358</v>
      </c>
      <c r="B22" s="12" t="s">
        <v>359</v>
      </c>
      <c r="C22" s="12" t="s">
        <v>360</v>
      </c>
      <c r="D22" s="12" t="s">
        <v>288</v>
      </c>
      <c r="E22" s="12" t="s">
        <v>361</v>
      </c>
      <c r="F22" s="12"/>
      <c r="G22" s="12" t="s">
        <v>290</v>
      </c>
      <c r="H22" s="12" t="s">
        <v>284</v>
      </c>
    </row>
    <row r="23" customFormat="false" ht="15" hidden="false" customHeight="false" outlineLevel="0" collapsed="false">
      <c r="A23" s="12" t="s">
        <v>362</v>
      </c>
      <c r="B23" s="12" t="s">
        <v>363</v>
      </c>
      <c r="C23" s="12" t="s">
        <v>364</v>
      </c>
      <c r="D23" s="12" t="s">
        <v>288</v>
      </c>
      <c r="E23" s="12" t="s">
        <v>365</v>
      </c>
      <c r="F23" s="12"/>
      <c r="G23" s="12" t="s">
        <v>290</v>
      </c>
      <c r="H23" s="12" t="s">
        <v>284</v>
      </c>
    </row>
    <row r="24" customFormat="false" ht="15" hidden="false" customHeight="false" outlineLevel="0" collapsed="false">
      <c r="A24" s="12" t="s">
        <v>366</v>
      </c>
      <c r="B24" s="12" t="s">
        <v>367</v>
      </c>
      <c r="C24" s="12" t="s">
        <v>364</v>
      </c>
      <c r="D24" s="12" t="s">
        <v>288</v>
      </c>
      <c r="E24" s="12" t="s">
        <v>368</v>
      </c>
      <c r="F24" s="12"/>
      <c r="G24" s="12" t="s">
        <v>290</v>
      </c>
      <c r="H24" s="12" t="s">
        <v>284</v>
      </c>
    </row>
    <row r="25" customFormat="false" ht="23.85" hidden="false" customHeight="false" outlineLevel="0" collapsed="false">
      <c r="A25" s="12" t="s">
        <v>369</v>
      </c>
      <c r="B25" s="12" t="s">
        <v>370</v>
      </c>
      <c r="C25" s="12" t="s">
        <v>371</v>
      </c>
      <c r="D25" s="12" t="s">
        <v>288</v>
      </c>
      <c r="E25" s="12" t="s">
        <v>372</v>
      </c>
      <c r="F25" s="12"/>
      <c r="G25" s="12" t="s">
        <v>290</v>
      </c>
      <c r="H25" s="12" t="s">
        <v>284</v>
      </c>
    </row>
    <row r="26" customFormat="false" ht="23.85" hidden="false" customHeight="false" outlineLevel="0" collapsed="false">
      <c r="A26" s="12" t="s">
        <v>373</v>
      </c>
      <c r="B26" s="12" t="s">
        <v>374</v>
      </c>
      <c r="C26" s="12" t="s">
        <v>375</v>
      </c>
      <c r="D26" s="12" t="s">
        <v>288</v>
      </c>
      <c r="E26" s="12" t="s">
        <v>376</v>
      </c>
      <c r="F26" s="12"/>
      <c r="G26" s="12" t="s">
        <v>290</v>
      </c>
      <c r="H26" s="12" t="s">
        <v>284</v>
      </c>
    </row>
    <row r="27" customFormat="false" ht="23.85" hidden="false" customHeight="false" outlineLevel="0" collapsed="false">
      <c r="A27" s="12" t="s">
        <v>377</v>
      </c>
      <c r="B27" s="12" t="s">
        <v>378</v>
      </c>
      <c r="C27" s="12" t="s">
        <v>379</v>
      </c>
      <c r="D27" s="12" t="s">
        <v>281</v>
      </c>
      <c r="E27" s="12" t="s">
        <v>380</v>
      </c>
      <c r="F27" s="12"/>
      <c r="G27" s="12" t="s">
        <v>283</v>
      </c>
      <c r="H27" s="12" t="s">
        <v>284</v>
      </c>
    </row>
    <row r="28" customFormat="false" ht="15" hidden="false" customHeight="false" outlineLevel="0" collapsed="false">
      <c r="A28" s="12" t="s">
        <v>381</v>
      </c>
      <c r="B28" s="12" t="s">
        <v>382</v>
      </c>
      <c r="C28" s="12"/>
      <c r="D28" s="12" t="s">
        <v>281</v>
      </c>
      <c r="E28" s="12" t="s">
        <v>383</v>
      </c>
      <c r="F28" s="12"/>
      <c r="G28" s="12" t="s">
        <v>283</v>
      </c>
      <c r="H28" s="12" t="s">
        <v>305</v>
      </c>
    </row>
  </sheetData>
  <autoFilter ref="A1:H2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80"/>
    <col collapsed="false" customWidth="true" hidden="false" outlineLevel="0" max="3" min="3" style="0" width="36"/>
    <col collapsed="false" customWidth="true" hidden="false" outlineLevel="0" max="4" min="4" style="0" width="40"/>
    <col collapsed="false" customWidth="true" hidden="false" outlineLevel="0" max="5" min="5" style="0" width="14"/>
  </cols>
  <sheetData>
    <row r="1" customFormat="false" ht="15" hidden="false" customHeight="false" outlineLevel="0" collapsed="false">
      <c r="A1" s="11" t="s">
        <v>384</v>
      </c>
      <c r="B1" s="11" t="s">
        <v>385</v>
      </c>
      <c r="C1" s="11" t="s">
        <v>386</v>
      </c>
      <c r="D1" s="11" t="s">
        <v>387</v>
      </c>
      <c r="E1" s="11" t="s">
        <v>388</v>
      </c>
    </row>
    <row r="2" customFormat="false" ht="23.85" hidden="false" customHeight="false" outlineLevel="0" collapsed="false">
      <c r="A2" s="12" t="s">
        <v>389</v>
      </c>
      <c r="B2" s="12" t="s">
        <v>390</v>
      </c>
      <c r="C2" s="12" t="s">
        <v>391</v>
      </c>
      <c r="D2" s="12" t="s">
        <v>392</v>
      </c>
      <c r="E2" s="12" t="s">
        <v>393</v>
      </c>
    </row>
    <row r="3" customFormat="false" ht="23.85" hidden="false" customHeight="false" outlineLevel="0" collapsed="false">
      <c r="A3" s="12" t="s">
        <v>394</v>
      </c>
      <c r="B3" s="12" t="s">
        <v>395</v>
      </c>
      <c r="C3" s="12" t="s">
        <v>396</v>
      </c>
      <c r="D3" s="12" t="s">
        <v>392</v>
      </c>
      <c r="E3" s="12" t="s">
        <v>393</v>
      </c>
    </row>
    <row r="4" customFormat="false" ht="23.85" hidden="false" customHeight="false" outlineLevel="0" collapsed="false">
      <c r="A4" s="12" t="s">
        <v>397</v>
      </c>
      <c r="B4" s="12" t="s">
        <v>398</v>
      </c>
      <c r="C4" s="12" t="s">
        <v>399</v>
      </c>
      <c r="D4" s="12" t="s">
        <v>392</v>
      </c>
      <c r="E4" s="12" t="s">
        <v>393</v>
      </c>
    </row>
    <row r="5" customFormat="false" ht="23.85" hidden="false" customHeight="false" outlineLevel="0" collapsed="false">
      <c r="A5" s="12" t="s">
        <v>400</v>
      </c>
      <c r="B5" s="12" t="s">
        <v>401</v>
      </c>
      <c r="C5" s="12" t="s">
        <v>402</v>
      </c>
      <c r="D5" s="12" t="s">
        <v>392</v>
      </c>
      <c r="E5" s="12" t="s">
        <v>393</v>
      </c>
    </row>
    <row r="6" customFormat="false" ht="23.85" hidden="false" customHeight="false" outlineLevel="0" collapsed="false">
      <c r="A6" s="12" t="s">
        <v>403</v>
      </c>
      <c r="B6" s="12" t="s">
        <v>404</v>
      </c>
      <c r="C6" s="12" t="s">
        <v>405</v>
      </c>
      <c r="D6" s="12" t="s">
        <v>392</v>
      </c>
      <c r="E6" s="12" t="s">
        <v>393</v>
      </c>
    </row>
    <row r="7" customFormat="false" ht="23.85" hidden="false" customHeight="false" outlineLevel="0" collapsed="false">
      <c r="A7" s="12" t="s">
        <v>406</v>
      </c>
      <c r="B7" s="12" t="s">
        <v>407</v>
      </c>
      <c r="C7" s="12" t="s">
        <v>408</v>
      </c>
      <c r="D7" s="12" t="s">
        <v>392</v>
      </c>
      <c r="E7" s="12" t="s">
        <v>393</v>
      </c>
    </row>
    <row r="8" customFormat="false" ht="23.85" hidden="false" customHeight="false" outlineLevel="0" collapsed="false">
      <c r="A8" s="12" t="s">
        <v>409</v>
      </c>
      <c r="B8" s="12" t="s">
        <v>410</v>
      </c>
      <c r="C8" s="12" t="s">
        <v>411</v>
      </c>
      <c r="D8" s="12" t="s">
        <v>392</v>
      </c>
      <c r="E8" s="12" t="s">
        <v>393</v>
      </c>
    </row>
    <row r="9" customFormat="false" ht="35.05" hidden="false" customHeight="false" outlineLevel="0" collapsed="false">
      <c r="A9" s="12" t="s">
        <v>412</v>
      </c>
      <c r="B9" s="12" t="s">
        <v>413</v>
      </c>
      <c r="C9" s="12" t="s">
        <v>414</v>
      </c>
      <c r="D9" s="12"/>
      <c r="E9" s="12" t="s">
        <v>415</v>
      </c>
    </row>
    <row r="10" customFormat="false" ht="23.85" hidden="false" customHeight="false" outlineLevel="0" collapsed="false">
      <c r="A10" s="12" t="s">
        <v>416</v>
      </c>
      <c r="B10" s="12" t="s">
        <v>417</v>
      </c>
      <c r="C10" s="12" t="s">
        <v>418</v>
      </c>
      <c r="D10" s="12"/>
      <c r="E10" s="12" t="s">
        <v>415</v>
      </c>
    </row>
    <row r="11" customFormat="false" ht="23.85" hidden="false" customHeight="false" outlineLevel="0" collapsed="false">
      <c r="A11" s="12" t="s">
        <v>419</v>
      </c>
      <c r="B11" s="12" t="s">
        <v>420</v>
      </c>
      <c r="C11" s="12" t="s">
        <v>421</v>
      </c>
      <c r="D11" s="12"/>
      <c r="E11" s="12" t="s">
        <v>415</v>
      </c>
    </row>
    <row r="12" customFormat="false" ht="23.85" hidden="false" customHeight="false" outlineLevel="0" collapsed="false">
      <c r="A12" s="12" t="s">
        <v>422</v>
      </c>
      <c r="B12" s="12" t="s">
        <v>423</v>
      </c>
      <c r="C12" s="12" t="s">
        <v>424</v>
      </c>
      <c r="D12" s="12"/>
      <c r="E12" s="12" t="s">
        <v>415</v>
      </c>
    </row>
    <row r="13" customFormat="false" ht="23.85" hidden="false" customHeight="false" outlineLevel="0" collapsed="false">
      <c r="A13" s="12" t="s">
        <v>425</v>
      </c>
      <c r="B13" s="12" t="s">
        <v>426</v>
      </c>
      <c r="C13" s="12" t="s">
        <v>427</v>
      </c>
      <c r="D13" s="12"/>
      <c r="E13" s="12" t="s">
        <v>415</v>
      </c>
    </row>
    <row r="14" customFormat="false" ht="23.85" hidden="false" customHeight="false" outlineLevel="0" collapsed="false">
      <c r="A14" s="12" t="s">
        <v>428</v>
      </c>
      <c r="B14" s="12" t="s">
        <v>429</v>
      </c>
      <c r="C14" s="12" t="s">
        <v>430</v>
      </c>
      <c r="D14" s="12"/>
      <c r="E14" s="12" t="s">
        <v>415</v>
      </c>
    </row>
    <row r="15" customFormat="false" ht="15" hidden="false" customHeight="false" outlineLevel="0" collapsed="false">
      <c r="A15" s="12" t="s">
        <v>431</v>
      </c>
      <c r="B15" s="12" t="s">
        <v>432</v>
      </c>
      <c r="C15" s="12" t="s">
        <v>433</v>
      </c>
      <c r="D15" s="12"/>
      <c r="E15" s="12" t="s">
        <v>415</v>
      </c>
    </row>
    <row r="16" customFormat="false" ht="35.05" hidden="false" customHeight="false" outlineLevel="0" collapsed="false">
      <c r="A16" s="12" t="s">
        <v>434</v>
      </c>
      <c r="B16" s="12" t="s">
        <v>435</v>
      </c>
      <c r="C16" s="12" t="s">
        <v>436</v>
      </c>
      <c r="D16" s="12"/>
      <c r="E16" s="12" t="s">
        <v>415</v>
      </c>
    </row>
    <row r="17" customFormat="false" ht="23.85" hidden="false" customHeight="false" outlineLevel="0" collapsed="false">
      <c r="A17" s="12" t="s">
        <v>437</v>
      </c>
      <c r="B17" s="12" t="s">
        <v>438</v>
      </c>
      <c r="C17" s="12" t="s">
        <v>439</v>
      </c>
      <c r="D17" s="12"/>
      <c r="E17" s="12" t="s">
        <v>415</v>
      </c>
    </row>
    <row r="18" customFormat="false" ht="23.85" hidden="false" customHeight="false" outlineLevel="0" collapsed="false">
      <c r="A18" s="12" t="s">
        <v>440</v>
      </c>
      <c r="B18" s="12" t="s">
        <v>441</v>
      </c>
      <c r="C18" s="12" t="s">
        <v>442</v>
      </c>
      <c r="D18" s="12"/>
      <c r="E18" s="12" t="s">
        <v>415</v>
      </c>
    </row>
    <row r="19" customFormat="false" ht="15" hidden="false" customHeight="false" outlineLevel="0" collapsed="false">
      <c r="A19" s="12" t="s">
        <v>443</v>
      </c>
      <c r="B19" s="12" t="s">
        <v>444</v>
      </c>
      <c r="C19" s="12" t="s">
        <v>445</v>
      </c>
      <c r="D19" s="12"/>
      <c r="E19" s="12" t="s">
        <v>415</v>
      </c>
    </row>
  </sheetData>
  <autoFilter ref="A1:E1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0"/>
    <col collapsed="false" customWidth="true" hidden="false" outlineLevel="0" max="3" min="3" style="0" width="100"/>
    <col collapsed="false" customWidth="true" hidden="false" outlineLevel="0" max="4" min="4" style="0" width="14"/>
  </cols>
  <sheetData>
    <row r="1" customFormat="false" ht="15" hidden="false" customHeight="false" outlineLevel="0" collapsed="false">
      <c r="A1" s="11" t="s">
        <v>21</v>
      </c>
      <c r="B1" s="11" t="s">
        <v>446</v>
      </c>
      <c r="C1" s="11" t="s">
        <v>447</v>
      </c>
      <c r="D1" s="11" t="s">
        <v>448</v>
      </c>
    </row>
    <row r="2" customFormat="false" ht="23.85" hidden="false" customHeight="false" outlineLevel="0" collapsed="false">
      <c r="A2" s="12" t="s">
        <v>449</v>
      </c>
      <c r="B2" s="12" t="s">
        <v>450</v>
      </c>
      <c r="C2" s="12" t="s">
        <v>451</v>
      </c>
      <c r="D2" s="12" t="s">
        <v>452</v>
      </c>
    </row>
    <row r="3" customFormat="false" ht="23.85" hidden="false" customHeight="false" outlineLevel="0" collapsed="false">
      <c r="A3" s="12" t="s">
        <v>453</v>
      </c>
      <c r="B3" s="12" t="s">
        <v>454</v>
      </c>
      <c r="C3" s="12" t="s">
        <v>455</v>
      </c>
      <c r="D3" s="12" t="s">
        <v>456</v>
      </c>
    </row>
    <row r="4" customFormat="false" ht="15" hidden="false" customHeight="false" outlineLevel="0" collapsed="false">
      <c r="A4" s="12" t="s">
        <v>457</v>
      </c>
      <c r="B4" s="12" t="s">
        <v>458</v>
      </c>
      <c r="C4" s="12" t="s">
        <v>459</v>
      </c>
      <c r="D4" s="12" t="s">
        <v>460</v>
      </c>
    </row>
    <row r="5" customFormat="false" ht="23.85" hidden="false" customHeight="false" outlineLevel="0" collapsed="false">
      <c r="A5" s="12" t="s">
        <v>461</v>
      </c>
      <c r="B5" s="12" t="s">
        <v>462</v>
      </c>
      <c r="C5" s="12" t="s">
        <v>463</v>
      </c>
      <c r="D5" s="12" t="s">
        <v>464</v>
      </c>
    </row>
    <row r="6" customFormat="false" ht="23.85" hidden="false" customHeight="false" outlineLevel="0" collapsed="false">
      <c r="A6" s="12" t="s">
        <v>465</v>
      </c>
      <c r="B6" s="12" t="s">
        <v>466</v>
      </c>
      <c r="C6" s="12" t="s">
        <v>467</v>
      </c>
      <c r="D6" s="12" t="s">
        <v>468</v>
      </c>
    </row>
    <row r="7" customFormat="false" ht="23.85" hidden="false" customHeight="false" outlineLevel="0" collapsed="false">
      <c r="A7" s="12" t="s">
        <v>469</v>
      </c>
      <c r="B7" s="12" t="s">
        <v>470</v>
      </c>
      <c r="C7" s="12" t="s">
        <v>471</v>
      </c>
      <c r="D7" s="12" t="s">
        <v>472</v>
      </c>
    </row>
    <row r="8" customFormat="false" ht="35.05" hidden="false" customHeight="false" outlineLevel="0" collapsed="false">
      <c r="A8" s="12" t="s">
        <v>473</v>
      </c>
      <c r="B8" s="12" t="s">
        <v>474</v>
      </c>
      <c r="C8" s="12" t="s">
        <v>475</v>
      </c>
      <c r="D8" s="12" t="s">
        <v>476</v>
      </c>
    </row>
    <row r="9" customFormat="false" ht="23.85" hidden="false" customHeight="false" outlineLevel="0" collapsed="false">
      <c r="A9" s="12" t="s">
        <v>477</v>
      </c>
      <c r="B9" s="12" t="s">
        <v>478</v>
      </c>
      <c r="C9" s="12" t="s">
        <v>479</v>
      </c>
      <c r="D9" s="12" t="s">
        <v>480</v>
      </c>
    </row>
    <row r="10" customFormat="false" ht="23.85" hidden="false" customHeight="false" outlineLevel="0" collapsed="false">
      <c r="A10" s="12" t="s">
        <v>481</v>
      </c>
      <c r="B10" s="12" t="s">
        <v>482</v>
      </c>
      <c r="C10" s="12" t="s">
        <v>483</v>
      </c>
      <c r="D10" s="12" t="s">
        <v>484</v>
      </c>
    </row>
    <row r="11" customFormat="false" ht="35.05" hidden="false" customHeight="false" outlineLevel="0" collapsed="false">
      <c r="A11" s="12" t="s">
        <v>485</v>
      </c>
      <c r="B11" s="12" t="s">
        <v>486</v>
      </c>
      <c r="C11" s="12" t="s">
        <v>487</v>
      </c>
      <c r="D11" s="12" t="s">
        <v>488</v>
      </c>
    </row>
    <row r="12" customFormat="false" ht="23.85" hidden="false" customHeight="false" outlineLevel="0" collapsed="false">
      <c r="A12" s="12" t="s">
        <v>489</v>
      </c>
      <c r="B12" s="12" t="s">
        <v>490</v>
      </c>
      <c r="C12" s="12" t="s">
        <v>491</v>
      </c>
      <c r="D12" s="12" t="s">
        <v>492</v>
      </c>
    </row>
    <row r="13" customFormat="false" ht="15" hidden="false" customHeight="false" outlineLevel="0" collapsed="false">
      <c r="A13" s="12" t="s">
        <v>493</v>
      </c>
      <c r="B13" s="12" t="s">
        <v>494</v>
      </c>
      <c r="C13" s="12" t="s">
        <v>495</v>
      </c>
      <c r="D13" s="12" t="s">
        <v>496</v>
      </c>
    </row>
    <row r="14" customFormat="false" ht="35.05" hidden="false" customHeight="false" outlineLevel="0" collapsed="false">
      <c r="A14" s="12" t="s">
        <v>497</v>
      </c>
      <c r="B14" s="12" t="s">
        <v>498</v>
      </c>
      <c r="C14" s="12" t="s">
        <v>499</v>
      </c>
      <c r="D14" s="12" t="s">
        <v>452</v>
      </c>
    </row>
    <row r="15" customFormat="false" ht="23.85" hidden="false" customHeight="false" outlineLevel="0" collapsed="false">
      <c r="A15" s="12" t="s">
        <v>500</v>
      </c>
      <c r="B15" s="12" t="s">
        <v>501</v>
      </c>
      <c r="C15" s="12" t="s">
        <v>502</v>
      </c>
      <c r="D15" s="12" t="s">
        <v>503</v>
      </c>
    </row>
    <row r="16" customFormat="false" ht="23.85" hidden="false" customHeight="false" outlineLevel="0" collapsed="false">
      <c r="A16" s="12" t="s">
        <v>504</v>
      </c>
      <c r="B16" s="12" t="s">
        <v>505</v>
      </c>
      <c r="C16" s="12" t="s">
        <v>506</v>
      </c>
      <c r="D16" s="12" t="s">
        <v>507</v>
      </c>
    </row>
    <row r="17" customFormat="false" ht="23.85" hidden="false" customHeight="false" outlineLevel="0" collapsed="false">
      <c r="A17" s="12" t="s">
        <v>508</v>
      </c>
      <c r="B17" s="12" t="s">
        <v>509</v>
      </c>
      <c r="C17" s="12" t="s">
        <v>510</v>
      </c>
      <c r="D17" s="12" t="s">
        <v>511</v>
      </c>
    </row>
    <row r="18" customFormat="false" ht="15" hidden="false" customHeight="false" outlineLevel="0" collapsed="false">
      <c r="A18" s="12" t="s">
        <v>512</v>
      </c>
      <c r="B18" s="12" t="s">
        <v>513</v>
      </c>
      <c r="C18" s="12" t="s">
        <v>514</v>
      </c>
      <c r="D18" s="12" t="s">
        <v>515</v>
      </c>
    </row>
    <row r="19" customFormat="false" ht="23.85" hidden="false" customHeight="false" outlineLevel="0" collapsed="false">
      <c r="A19" s="12" t="s">
        <v>516</v>
      </c>
      <c r="B19" s="12" t="s">
        <v>517</v>
      </c>
      <c r="C19" s="12" t="s">
        <v>518</v>
      </c>
      <c r="D19" s="12" t="s">
        <v>519</v>
      </c>
    </row>
    <row r="20" customFormat="false" ht="23.85" hidden="false" customHeight="false" outlineLevel="0" collapsed="false">
      <c r="A20" s="12" t="s">
        <v>520</v>
      </c>
      <c r="B20" s="12" t="s">
        <v>521</v>
      </c>
      <c r="C20" s="12" t="s">
        <v>522</v>
      </c>
      <c r="D20" s="12" t="s">
        <v>523</v>
      </c>
    </row>
    <row r="21" customFormat="false" ht="23.85" hidden="false" customHeight="false" outlineLevel="0" collapsed="false">
      <c r="A21" s="12" t="s">
        <v>524</v>
      </c>
      <c r="B21" s="12" t="s">
        <v>525</v>
      </c>
      <c r="C21" s="12" t="s">
        <v>526</v>
      </c>
      <c r="D21" s="12" t="s">
        <v>257</v>
      </c>
    </row>
  </sheetData>
  <autoFilter ref="A1:D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0"/>
    <col collapsed="false" customWidth="true" hidden="false" outlineLevel="0" max="3" min="3" style="0" width="30"/>
    <col collapsed="false" customWidth="true" hidden="false" outlineLevel="0" max="4" min="4" style="0" width="22"/>
  </cols>
  <sheetData>
    <row r="1" customFormat="false" ht="15" hidden="false" customHeight="false" outlineLevel="0" collapsed="false">
      <c r="A1" s="11" t="s">
        <v>527</v>
      </c>
      <c r="B1" s="11" t="s">
        <v>528</v>
      </c>
      <c r="C1" s="11" t="s">
        <v>529</v>
      </c>
      <c r="D1" s="11" t="s">
        <v>386</v>
      </c>
    </row>
    <row r="2" customFormat="false" ht="15" hidden="false" customHeight="false" outlineLevel="0" collapsed="false">
      <c r="A2" s="12" t="s">
        <v>530</v>
      </c>
      <c r="B2" s="12" t="s">
        <v>531</v>
      </c>
      <c r="C2" s="12" t="s">
        <v>532</v>
      </c>
      <c r="D2" s="12" t="s">
        <v>533</v>
      </c>
    </row>
    <row r="3" customFormat="false" ht="15" hidden="false" customHeight="false" outlineLevel="0" collapsed="false">
      <c r="A3" s="12" t="s">
        <v>534</v>
      </c>
      <c r="B3" s="12" t="s">
        <v>535</v>
      </c>
      <c r="C3" s="12" t="s">
        <v>536</v>
      </c>
      <c r="D3" s="12" t="s">
        <v>537</v>
      </c>
    </row>
    <row r="4" customFormat="false" ht="15" hidden="false" customHeight="false" outlineLevel="0" collapsed="false">
      <c r="A4" s="12" t="s">
        <v>538</v>
      </c>
      <c r="B4" s="12" t="s">
        <v>539</v>
      </c>
      <c r="C4" s="12" t="s">
        <v>540</v>
      </c>
      <c r="D4" s="12" t="s">
        <v>541</v>
      </c>
    </row>
    <row r="5" customFormat="false" ht="15" hidden="false" customHeight="false" outlineLevel="0" collapsed="false">
      <c r="A5" s="12" t="s">
        <v>542</v>
      </c>
      <c r="B5" s="12" t="s">
        <v>543</v>
      </c>
      <c r="C5" s="12" t="s">
        <v>544</v>
      </c>
      <c r="D5" s="12" t="s">
        <v>476</v>
      </c>
    </row>
    <row r="6" customFormat="false" ht="15" hidden="false" customHeight="false" outlineLevel="0" collapsed="false">
      <c r="A6" s="12" t="s">
        <v>545</v>
      </c>
      <c r="B6" s="12" t="s">
        <v>546</v>
      </c>
      <c r="C6" s="12" t="s">
        <v>547</v>
      </c>
      <c r="D6" s="12" t="s">
        <v>548</v>
      </c>
    </row>
    <row r="7" customFormat="false" ht="15" hidden="false" customHeight="false" outlineLevel="0" collapsed="false">
      <c r="A7" s="12" t="s">
        <v>549</v>
      </c>
      <c r="B7" s="12" t="s">
        <v>550</v>
      </c>
      <c r="C7" s="12" t="s">
        <v>551</v>
      </c>
      <c r="D7" s="12" t="s">
        <v>552</v>
      </c>
    </row>
    <row r="8" customFormat="false" ht="15" hidden="false" customHeight="false" outlineLevel="0" collapsed="false">
      <c r="A8" s="12" t="s">
        <v>553</v>
      </c>
      <c r="B8" s="12" t="s">
        <v>554</v>
      </c>
      <c r="C8" s="12" t="s">
        <v>555</v>
      </c>
      <c r="D8" s="12" t="s">
        <v>468</v>
      </c>
    </row>
    <row r="9" customFormat="false" ht="15" hidden="false" customHeight="false" outlineLevel="0" collapsed="false">
      <c r="A9" s="12" t="s">
        <v>556</v>
      </c>
      <c r="B9" s="12" t="s">
        <v>557</v>
      </c>
      <c r="C9" s="12" t="s">
        <v>558</v>
      </c>
      <c r="D9" s="12" t="s">
        <v>464</v>
      </c>
    </row>
    <row r="10" customFormat="false" ht="15" hidden="false" customHeight="false" outlineLevel="0" collapsed="false">
      <c r="A10" s="12" t="s">
        <v>559</v>
      </c>
      <c r="B10" s="12" t="s">
        <v>560</v>
      </c>
      <c r="C10" s="12" t="s">
        <v>561</v>
      </c>
      <c r="D10" s="12" t="s">
        <v>562</v>
      </c>
    </row>
    <row r="11" customFormat="false" ht="15" hidden="false" customHeight="false" outlineLevel="0" collapsed="false">
      <c r="A11" s="12" t="s">
        <v>563</v>
      </c>
      <c r="B11" s="12" t="s">
        <v>564</v>
      </c>
      <c r="C11" s="12" t="s">
        <v>565</v>
      </c>
      <c r="D11" s="12"/>
    </row>
    <row r="13" customFormat="false" ht="15" hidden="false" customHeight="false" outlineLevel="0" collapsed="false">
      <c r="A13" s="2" t="s">
        <v>566</v>
      </c>
    </row>
  </sheetData>
  <autoFilter ref="A1:D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2026-10-25T12:26:06Z</dcterms:created>
  <dc:creator>openpyxl</dc:creator>
  <dc:description/>
  <dc:language>en-US</dc:language>
  <cp:lastModifiedBy/>
  <dcterms:modified xsi:type="dcterms:W3CDTF">2026-10-25T12:26:06Z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
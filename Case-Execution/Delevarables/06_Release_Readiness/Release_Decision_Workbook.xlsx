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echnical (20)" sheetId="2" state="visible" r:id="rId2"/>
    <sheet xmlns:r="http://schemas.openxmlformats.org/officeDocument/2006/relationships" name="Sign-offs (40)" sheetId="3" state="visible" r:id="rId3"/>
    <sheet xmlns:r="http://schemas.openxmlformats.org/officeDocument/2006/relationships" name="Differences (11)" sheetId="4" state="visible" r:id="rId4"/>
    <sheet xmlns:r="http://schemas.openxmlformats.org/officeDocument/2006/relationships" name="Security (T-10)" sheetId="5" state="visible" r:id="rId5"/>
    <sheet xmlns:r="http://schemas.openxmlformats.org/officeDocument/2006/relationships" name="Monitoring (T-09)" sheetId="6" state="visible" r:id="rId6"/>
    <sheet xmlns:r="http://schemas.openxmlformats.org/officeDocument/2006/relationships" name="Path to GO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0B2545"/>
      <sz val="18"/>
    </font>
    <font>
      <name val="Cambria"/>
      <charset val="1"/>
      <family val="0"/>
      <i val="1"/>
      <color rgb="FF5C677D"/>
      <sz val="11"/>
    </font>
    <font>
      <name val="Cambria"/>
      <charset val="1"/>
      <family val="0"/>
      <b val="1"/>
      <color rgb="FF13315C"/>
      <sz val="11"/>
    </font>
    <font>
      <name val="Cambria"/>
      <charset val="1"/>
      <family val="0"/>
      <b val="1"/>
      <color rgb="FF0B2545"/>
      <sz val="12"/>
    </font>
    <font>
      <name val="Calibri"/>
      <charset val="1"/>
      <family val="0"/>
      <b val="1"/>
      <color rgb="FFFFFFFF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B03A2E"/>
      <sz val="11"/>
    </font>
    <font>
      <name val="Cambria"/>
      <charset val="1"/>
      <family val="0"/>
      <b val="1"/>
      <color rgb="FF0B2545"/>
      <sz val="14"/>
    </font>
  </fonts>
  <fills count="4">
    <fill>
      <patternFill/>
    </fill>
    <fill>
      <patternFill patternType="gray125"/>
    </fill>
    <fill>
      <patternFill patternType="solid">
        <fgColor rgb="FFFFF8DC"/>
        <bgColor rgb="FFFFF3CD"/>
      </patternFill>
    </fill>
    <fill>
      <patternFill patternType="solid">
        <fgColor rgb="FF0B2545"/>
        <bgColor rgb="FF13315C"/>
      </patternFill>
    </fill>
  </fills>
  <borders count="5">
    <border>
      <left/>
      <right/>
      <top/>
      <bottom/>
      <diagonal/>
    </border>
    <border>
      <left style="thin">
        <color rgb="FFC9D3DF"/>
      </left>
      <right style="thin">
        <color rgb="FFC9D3DF"/>
      </right>
      <top style="thin">
        <color rgb="FFC9D3DF"/>
      </top>
      <bottom style="thin">
        <color rgb="FFC9D3DF"/>
      </bottom>
      <diagonal/>
    </border>
    <border>
      <left style="thin">
        <color rgb="FFC9D3DF"/>
      </left>
      <right/>
      <top style="thin">
        <color rgb="FFC9D3DF"/>
      </top>
      <bottom style="thin">
        <color rgb="FFC9D3DF"/>
      </bottom>
      <diagonal/>
    </border>
    <border>
      <left/>
      <right/>
      <top style="thin">
        <color rgb="FFC9D3DF"/>
      </top>
      <bottom/>
      <diagonal/>
    </border>
    <border>
      <left/>
      <right/>
      <top style="thin">
        <color rgb="FFC9D3DF"/>
      </top>
      <bottom style="thin">
        <color rgb="FFC9D3D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2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top" wrapText="1"/>
    </xf>
    <xf numFmtId="0" fontId="0" fillId="0" borderId="4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5F0E3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9D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E3"/>
      <rgbColor rgb="FFFFF3CD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C677D"/>
      <rgbColor rgb="FF969696"/>
      <rgbColor rgb="FF13315C"/>
      <rgbColor rgb="FF1B998B"/>
      <rgbColor rgb="FF003300"/>
      <rgbColor rgb="FF333300"/>
      <rgbColor rgb="FFB03A2E"/>
      <rgbColor rgb="FF993366"/>
      <rgbColor rgb="FF333399"/>
      <rgbColor rgb="FF0B254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998B"/>
    <outlinePr summaryBelow="1" summaryRight="1"/>
    <pageSetUpPr fitToPage="0"/>
  </sheetPr>
  <dimension ref="A1:C1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4" customWidth="1" style="17" min="2" max="2"/>
    <col width="90" customWidth="1" style="17" min="3" max="3"/>
  </cols>
  <sheetData>
    <row r="1"/>
    <row r="2" ht="22.05" customHeight="1" s="18">
      <c r="B2" s="19" t="inlineStr">
        <is>
          <t>GxP Quality Hub — release decision workbook</t>
        </is>
      </c>
    </row>
    <row r="3" ht="15" customHeight="1" s="18">
      <c r="B3" s="20" t="inlineStr">
        <is>
          <t>Prepared 2026-10-25 for Dinesh Naik (Engagement lead). Synthetic data. The decision path stays No-AI (OD-08). Since 26 Oct an optional, off-by-default advisory Q&amp;A exists (Stage 44, OD-40); it does not change the 40 approvals, but enabling it needs its own approval reference for ai.enabled.</t>
        </is>
      </c>
    </row>
    <row r="4"/>
    <row r="5" ht="30" customHeight="1" s="18">
      <c r="B5" s="21" t="inlineStr">
        <is>
          <t>Who fills the yellow cells</t>
        </is>
      </c>
      <c r="C5" s="22" t="inlineStr">
        <is>
          <t>Only you. The hub's release check refuses approvals that name an agent, assistant, orchestrator, bot, system or AI. Claude prepared everything else and signed nothing.</t>
        </is>
      </c>
    </row>
    <row r="6" ht="15" customHeight="1" s="18">
      <c r="B6" s="21" t="inlineStr">
        <is>
          <t>Step 1</t>
        </is>
      </c>
      <c r="C6" s="22" t="inlineStr">
        <is>
          <t>Type your full name once in C13 (Approver) and the date in C14 (ISO, e.g. 2026-10-26).</t>
        </is>
      </c>
    </row>
    <row r="7" ht="45" customHeight="1" s="18">
      <c r="B7" s="21" t="inlineStr">
        <is>
          <t>Step 2</t>
        </is>
      </c>
      <c r="C7" s="22" t="inlineStr">
        <is>
          <t>Sheet 'Sign-offs (40)': read the evidence named in column F, then choose APPROVED, REJECTED or OPEN in column G. Leave OPEN when unsure. A row needs no other typing: references are generated for you (you may override columns I and J).</t>
        </is>
      </c>
    </row>
    <row r="8" ht="30" customHeight="1" s="18">
      <c r="B8" s="21" t="inlineStr">
        <is>
          <t>Step 3</t>
        </is>
      </c>
      <c r="C8" s="22" t="inlineStr">
        <is>
          <t>Sheet 'Security (T-10)': pick one option per item and put a short reason. Sheet 'Monitoring (T-09)': choose option A or B.</t>
        </is>
      </c>
    </row>
    <row r="9" ht="30" customHeight="1" s="18">
      <c r="B9" s="21" t="inlineStr">
        <is>
          <t>Step 4</t>
        </is>
      </c>
      <c r="C9" s="22" t="inlineStr">
        <is>
          <t>Save the file, then run:   py -3.14 release_check.py validate --workbook &lt;this file&gt;   (it only reads and reports).</t>
        </is>
      </c>
    </row>
    <row r="10" ht="45" customHeight="1" s="18">
      <c r="B10" s="21" t="inlineStr">
        <is>
          <t>Step 5</t>
        </is>
      </c>
      <c r="C10" s="22" t="inlineStr">
        <is>
          <t>When validate is clean, run:   py -3.14 release_check.py evaluate --workbook &lt;this file&gt;   It builds the approvals file, records the deviation decisions in a sandbox copy, runs the golden comparison and prints the repo's own GO / NO-GO. Your repository is not modified.</t>
        </is>
      </c>
    </row>
    <row r="11" ht="30" customHeight="1" s="18">
      <c r="B11" s="21" t="inlineStr">
        <is>
          <t>What 'GO' means here</t>
        </is>
      </c>
      <c r="C11" s="22" t="inlineStr">
        <is>
          <t>GO (shadow): the hub runs beside the legacy system on synthetic data. It does not mean production cutover; the five CUT-n approvals stay OPEN.</t>
        </is>
      </c>
    </row>
    <row r="12" ht="15" customHeight="1" s="18">
      <c r="B12" s="21" t="n"/>
    </row>
    <row r="13" ht="15" customHeight="1" s="18">
      <c r="B13" s="21" t="inlineStr">
        <is>
          <t>Approver (full name)</t>
        </is>
      </c>
      <c r="C13" s="23" t="n"/>
    </row>
    <row r="14" ht="15" customHeight="1" s="18">
      <c r="B14" s="21" t="inlineStr">
        <is>
          <t>Approval date (ISO)</t>
        </is>
      </c>
      <c r="C14" s="23" t="n"/>
    </row>
    <row r="15" ht="31.5" customHeight="1" s="18">
      <c r="B15" s="21" t="inlineStr">
        <is>
          <t>Live counts</t>
        </is>
      </c>
      <c r="C15" s="22">
        <f>"Sign-offs approved: "&amp;COUNTIF('Sign-offs (40)'!G5:G44,"APPROVED")&amp;" of 40   |   release-scope approved: "&amp;COUNTIFS('Sign-offs (40)'!G5:G44,"APPROVED",'Sign-offs (40)'!B5:B44,"REL")&amp;" of 22   |   deviations approved: "&amp;COUNTIFS('Sign-offs (40)'!G5:G44,"APPROVED",'Sign-offs (40)'!A5:A44,"AP-DV-*")&amp;" of 11"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3315C"/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14" customWidth="1" style="17" min="2" max="2"/>
    <col width="60" customWidth="1" style="17" min="3" max="3"/>
    <col width="44" customWidth="1" style="17" min="4" max="4"/>
    <col width="56" customWidth="1" style="17" min="5" max="5"/>
    <col width="14" customWidth="1" style="17" min="6" max="6"/>
    <col width="52" customWidth="1" style="17" min="7" max="7"/>
  </cols>
  <sheetData>
    <row r="1" ht="15" customHeight="1" s="18">
      <c r="A1" s="24" t="inlineStr">
        <is>
          <t>Technical criteria (evidence only; a pass is not an approval). Source: docs/30-release/evidence/gate-results.json</t>
        </is>
      </c>
    </row>
    <row r="2"/>
    <row r="3"/>
    <row r="4" ht="31.5" customHeight="1" s="18">
      <c r="A4" s="25" t="inlineStr">
        <is>
          <t>ID</t>
        </is>
      </c>
      <c r="B4" s="25" t="inlineStr">
        <is>
          <t>Result in repo today</t>
        </is>
      </c>
      <c r="C4" s="25" t="inlineStr">
        <is>
          <t>Criterion / note</t>
        </is>
      </c>
      <c r="D4" s="25" t="inlineStr">
        <is>
          <t>Evidence file</t>
        </is>
      </c>
      <c r="E4" s="25" t="inlineStr">
        <is>
          <t>What clears it</t>
        </is>
      </c>
      <c r="F4" s="25" t="inlineStr">
        <is>
          <t>Who</t>
        </is>
      </c>
      <c r="G4" s="25" t="inlineStr">
        <is>
          <t>Status after this session</t>
        </is>
      </c>
    </row>
    <row r="5" ht="41.75" customHeight="1" s="18">
      <c r="A5" s="26" t="inlineStr">
        <is>
          <t>G1</t>
        </is>
      </c>
      <c r="B5" s="27" t="inlineStr">
        <is>
          <t>fail</t>
        </is>
      </c>
      <c r="C5" s="27" t="inlineStr">
        <is>
          <t>golden diff: unapproved differences = 0 — golden-compare exit 6: every entry UNAPPROVED because DV-01..DV-11 are proposed (OD-S12-13 open); cannot pass before Dinesh decides</t>
        </is>
      </c>
      <c r="D5" s="27" t="inlineStr">
        <is>
          <t>docs/30-release/evidence/s30-log-06-golden-compare.txt</t>
        </is>
      </c>
      <c r="E5" s="27" t="inlineStr">
        <is>
          <t>Record a preserve-or-fix decision for DV-01..DV-11 (sheet Sign-offs, rows AP-DV-*). The tool then marks each as an approved deviation and the golden comparison must exit 0.</t>
        </is>
      </c>
      <c r="F5" s="27" t="inlineStr">
        <is>
          <t>You (decisions) + Claude (run)</t>
        </is>
      </c>
      <c r="G5" s="27" t="inlineStr">
        <is>
          <t>OPEN: needs your 11 deviation decisions, then the comparison re-run.</t>
        </is>
      </c>
    </row>
    <row r="6" ht="28.35" customHeight="1" s="18">
      <c r="A6" s="26" t="inlineStr">
        <is>
          <t>G2</t>
        </is>
      </c>
      <c r="B6" s="27" t="inlineStr">
        <is>
          <t>pass</t>
        </is>
      </c>
      <c r="C6" s="27" t="inlineStr">
        <is>
          <t>replay-safety suite (AC-INT-04/05) passes — group I6 43/43 (TST_INT, replay safety)</t>
        </is>
      </c>
      <c r="D6" s="27" t="inlineStr">
        <is>
          <t>docs/30-release/evidence/s30-regression-groups.txt</t>
        </is>
      </c>
      <c r="E6" s="27" t="inlineStr">
        <is>
          <t>Nothing: already passes in the repo's evidence.</t>
        </is>
      </c>
      <c r="F6" s="27" t="inlineStr">
        <is>
          <t>-</t>
        </is>
      </c>
      <c r="G6" s="27" t="inlineStr">
        <is>
          <t>No change needed (still pass; re-checked by the final evaluate step).</t>
        </is>
      </c>
    </row>
    <row r="7" ht="28.35" customHeight="1" s="18">
      <c r="A7" s="26" t="inlineStr">
        <is>
          <t>G3</t>
        </is>
      </c>
      <c r="B7" s="27" t="inlineStr">
        <is>
          <t>pass</t>
        </is>
      </c>
      <c r="C7" s="27" t="inlineStr">
        <is>
          <t>verify-audit ok — verify-audit ok on the sandbox store; also ok after refusal, authority flip, L3, restore (logs 10, 16, 19, 22, 25)</t>
        </is>
      </c>
      <c r="D7" s="27" t="inlineStr">
        <is>
          <t>docs/30-release/evidence/s30-log-04-verify-audit.txt</t>
        </is>
      </c>
      <c r="E7" s="27" t="inlineStr">
        <is>
          <t>Nothing: already passes in the repo's evidence.</t>
        </is>
      </c>
      <c r="F7" s="27" t="inlineStr">
        <is>
          <t>-</t>
        </is>
      </c>
      <c r="G7" s="27" t="inlineStr">
        <is>
          <t>No change needed (still pass; re-checked by the final evaluate step).</t>
        </is>
      </c>
    </row>
    <row r="8" ht="28.35" customHeight="1" s="18">
      <c r="A8" s="26" t="inlineStr">
        <is>
          <t>G4</t>
        </is>
      </c>
      <c r="B8" s="27" t="inlineStr">
        <is>
          <t>pass</t>
        </is>
      </c>
      <c r="C8" s="27" t="inlineStr">
        <is>
          <t>verify-projection 0 mismatches — group I45 91/91 (projection tests); no stand-alone verify-projection on a production store (none exists)</t>
        </is>
      </c>
      <c r="D8" s="27" t="inlineStr">
        <is>
          <t>docs/30-release/evidence/s30-regression-groups.txt</t>
        </is>
      </c>
      <c r="E8" s="27" t="inlineStr">
        <is>
          <t>Nothing: already passes in the repo's evidence.</t>
        </is>
      </c>
      <c r="F8" s="27" t="inlineStr">
        <is>
          <t>-</t>
        </is>
      </c>
      <c r="G8" s="27" t="inlineStr">
        <is>
          <t>No change needed (still pass; re-checked by the final evaluate step).</t>
        </is>
      </c>
    </row>
    <row r="9" ht="41.75" customHeight="1" s="18">
      <c r="A9" s="26" t="inlineStr">
        <is>
          <t>G5</t>
        </is>
      </c>
      <c r="B9" s="27" t="inlineStr">
        <is>
          <t>pass</t>
        </is>
      </c>
      <c r="C9" s="27" t="inlineStr">
        <is>
          <t>No-AI tripwire: deny-list clean, no egress, model_calls_total = 0 (shipped default ai.enabled=false; Stage 44 adds a gated, off-by-default Azure OpenAI path) — tripwires zero in the groups run; hub.admin release-checklist evaluates G5 (log 09b)</t>
        </is>
      </c>
      <c r="D9" s="27" t="inlineStr">
        <is>
          <t>docs/30-release/evidence/s30-regression-groups.txt</t>
        </is>
      </c>
      <c r="E9" s="27" t="inlineStr">
        <is>
          <t>Nothing: already passes in the repo's evidence.</t>
        </is>
      </c>
      <c r="F9" s="27" t="inlineStr">
        <is>
          <t>-</t>
        </is>
      </c>
      <c r="G9" s="27" t="inlineStr">
        <is>
          <t>No change needed (still pass; re-checked by the final evaluate step).</t>
        </is>
      </c>
    </row>
    <row r="10" ht="28.35" customHeight="1" s="18">
      <c r="A10" s="26" t="inlineStr">
        <is>
          <t>G6</t>
        </is>
      </c>
      <c r="B10" s="27" t="inlineStr">
        <is>
          <t>pass</t>
        </is>
      </c>
      <c r="C10" s="27" t="inlineStr">
        <is>
          <t>secret scan 0; deletion-path grep 0 — scan evaluated by hub.admin release-checklist</t>
        </is>
      </c>
      <c r="D10" s="27" t="inlineStr">
        <is>
          <t>docs/30-release/evidence/s30-log-09b-release-checklist-no-mark.txt</t>
        </is>
      </c>
      <c r="E10" s="27" t="inlineStr">
        <is>
          <t>Nothing: already passes in the repo's evidence.</t>
        </is>
      </c>
      <c r="F10" s="27" t="inlineStr">
        <is>
          <t>-</t>
        </is>
      </c>
      <c r="G10" s="27" t="inlineStr">
        <is>
          <t>No change needed (still pass; re-checked by the final evaluate step).</t>
        </is>
      </c>
    </row>
    <row r="11" ht="28.35" customHeight="1" s="18">
      <c r="A11" s="26" t="inlineStr">
        <is>
          <t>G7</t>
        </is>
      </c>
      <c r="B11" s="27" t="inlineStr">
        <is>
          <t>pass</t>
        </is>
      </c>
      <c r="C11" s="27" t="inlineStr">
        <is>
          <t>backup/restore rehearsal checksum match — backup/restore rehearsal evaluated by hub.admin; also logs 07, 08, 21, 22</t>
        </is>
      </c>
      <c r="D11" s="27" t="inlineStr">
        <is>
          <t>docs/30-release/evidence/s30-log-09b-release-checklist-no-mark.txt</t>
        </is>
      </c>
      <c r="E11" s="27" t="inlineStr">
        <is>
          <t>Nothing: already passes in the repo's evidence.</t>
        </is>
      </c>
      <c r="F11" s="27" t="inlineStr">
        <is>
          <t>-</t>
        </is>
      </c>
      <c r="G11" s="27" t="inlineStr">
        <is>
          <t>No change needed (still pass; re-checked by the final evaluate step).</t>
        </is>
      </c>
    </row>
    <row r="12" ht="28.35" customHeight="1" s="18">
      <c r="A12" s="26" t="inlineStr">
        <is>
          <t>G8</t>
        </is>
      </c>
      <c r="B12" s="27" t="inlineStr">
        <is>
          <t>pass</t>
        </is>
      </c>
      <c r="C12" s="27" t="inlineStr">
        <is>
          <t>Zone H negative tests (AC-GATE-09/11/12) pass — group I8a 35/35 (TST_GATE, TST_REV)</t>
        </is>
      </c>
      <c r="D12" s="27" t="inlineStr">
        <is>
          <t>docs/30-release/evidence/s30-regression-groups.txt</t>
        </is>
      </c>
      <c r="E12" s="27" t="inlineStr">
        <is>
          <t>Nothing: already passes in the repo's evidence.</t>
        </is>
      </c>
      <c r="F12" s="27" t="inlineStr">
        <is>
          <t>-</t>
        </is>
      </c>
      <c r="G12" s="27" t="inlineStr">
        <is>
          <t>No change needed (still pass; re-checked by the final evaluate step).</t>
        </is>
      </c>
    </row>
    <row r="13" ht="28.35" customHeight="1" s="18">
      <c r="A13" s="26" t="inlineStr">
        <is>
          <t>G9</t>
        </is>
      </c>
      <c r="B13" s="27" t="inlineStr">
        <is>
          <t>pass</t>
        </is>
      </c>
      <c r="C13" s="27" t="inlineStr">
        <is>
          <t>planted-string fixture suite (86/22/44) 0 effects — group I6 (planted-string and untrusted-source tests)</t>
        </is>
      </c>
      <c r="D13" s="27" t="inlineStr">
        <is>
          <t>docs/30-release/evidence/s30-regression-groups.txt</t>
        </is>
      </c>
      <c r="E13" s="27" t="inlineStr">
        <is>
          <t>Nothing: already passes in the repo's evidence.</t>
        </is>
      </c>
      <c r="F13" s="27" t="inlineStr">
        <is>
          <t>-</t>
        </is>
      </c>
      <c r="G13" s="27" t="inlineStr">
        <is>
          <t>No change needed (still pass; re-checked by the final evaluate step).</t>
        </is>
      </c>
    </row>
    <row r="14" ht="41.75" customHeight="1" s="18">
      <c r="A14" s="26" t="inlineStr">
        <is>
          <t>G10</t>
        </is>
      </c>
      <c r="B14" s="27" t="inlineStr">
        <is>
          <t>pass</t>
        </is>
      </c>
      <c r="C14" s="27" t="inlineStr">
        <is>
          <t>determinism: bit-identical across PYTHONHASHSEED/TZ/locale — TST_CO_13 inside group B (41 of 42 executed ok-or-skipped; the 1 failure is TST_CO_05_c, S30-DEV-03)</t>
        </is>
      </c>
      <c r="D14" s="27" t="inlineStr">
        <is>
          <t>docs/30-release/evidence/s30-regression-groups.txt</t>
        </is>
      </c>
      <c r="E14" s="27" t="inlineStr">
        <is>
          <t>Nothing: already passes in the repo's evidence.</t>
        </is>
      </c>
      <c r="F14" s="27" t="inlineStr">
        <is>
          <t>-</t>
        </is>
      </c>
      <c r="G14" s="27" t="inlineStr">
        <is>
          <t>No change needed (still pass; re-checked by the final evaluate step).</t>
        </is>
      </c>
    </row>
    <row r="15" ht="41.75" customHeight="1" s="18">
      <c r="A15" s="26" t="inlineStr">
        <is>
          <t>T-01</t>
        </is>
      </c>
      <c r="B15" s="27" t="inlineStr">
        <is>
          <t>pass</t>
        </is>
      </c>
      <c r="C15" s="27" t="inlineStr">
        <is>
          <t>backup manifest of the legacy baseline verifies (rc 0) before and after every rehearsal — manifest rc 0 before and after the rehearsal; rc 0 before and after every group</t>
        </is>
      </c>
      <c r="D15" s="27" t="inlineStr">
        <is>
          <t>docs/30-release/evidence/s30-rehearsal-summary.txt</t>
        </is>
      </c>
      <c r="E15" s="27" t="inlineStr">
        <is>
          <t>Nothing: already passes in the repo's evidence.</t>
        </is>
      </c>
      <c r="F15" s="27" t="inlineStr">
        <is>
          <t>-</t>
        </is>
      </c>
      <c r="G15" s="27" t="inlineStr">
        <is>
          <t>No change needed (still pass; re-checked by the final evaluate step).</t>
        </is>
      </c>
    </row>
    <row r="16" ht="41.75" customHeight="1" s="18">
      <c r="A16" s="26" t="inlineStr">
        <is>
          <t>T-02</t>
        </is>
      </c>
      <c r="B16" s="27" t="inlineStr">
        <is>
          <t>pass</t>
        </is>
      </c>
      <c r="C16" s="27" t="inlineStr">
        <is>
          <t>L1 code revert rehearsed on a sandbox clone — revert of the Stage 31 squash commit in a clone gives exactly the pre-Stage-31 hub/ and tests/hub (log 28); revert-of-revert restores main (log 31)</t>
        </is>
      </c>
      <c r="D16" s="27" t="inlineStr">
        <is>
          <t>docs/30-release/evidence/s30-log-31-l1-tree-restored.txt</t>
        </is>
      </c>
      <c r="E16" s="27" t="inlineStr">
        <is>
          <t>Nothing: already passes in the repo's evidence.</t>
        </is>
      </c>
      <c r="F16" s="27" t="inlineStr">
        <is>
          <t>-</t>
        </is>
      </c>
      <c r="G16" s="27" t="inlineStr">
        <is>
          <t>No change needed (still pass; re-checked by the final evaluate step).</t>
        </is>
      </c>
    </row>
    <row r="17" ht="28.35" customHeight="1" s="18">
      <c r="A17" s="26" t="inlineStr">
        <is>
          <t>T-03</t>
        </is>
      </c>
      <c r="B17" s="27" t="inlineStr">
        <is>
          <t>pass</t>
        </is>
      </c>
      <c r="C17" s="27" t="inlineStr">
        <is>
          <t>L2 hub-state backup / restore rehearsed on a sandbox copy — backup, restore, corrupt-backup refusal exit 21 (log 24)</t>
        </is>
      </c>
      <c r="D17" s="27" t="inlineStr">
        <is>
          <t>docs/30-release/evidence/s30-log-22-verify-audit-after-restore.txt</t>
        </is>
      </c>
      <c r="E17" s="27" t="inlineStr">
        <is>
          <t>Nothing: already passes in the repo's evidence.</t>
        </is>
      </c>
      <c r="F17" s="27" t="inlineStr">
        <is>
          <t>-</t>
        </is>
      </c>
      <c r="G17" s="27" t="inlineStr">
        <is>
          <t>No change needed (still pass; re-checked by the final evaluate step).</t>
        </is>
      </c>
    </row>
    <row r="18" ht="55.2" customHeight="1" s="18">
      <c r="A18" s="26" t="inlineStr">
        <is>
          <t>T-04</t>
        </is>
      </c>
      <c r="B18" s="27" t="inlineStr">
        <is>
          <t>pass</t>
        </is>
      </c>
      <c r="C18" s="27" t="inlineStr">
        <is>
          <t>L3 authority flip and flip back rehearsed on a sandbox copy, audit chain verifies — flip refused without reference (exit 2); held with a sandbox marker; flip-to-shadow; two CONFIG_CHANGED records; chain ok</t>
        </is>
      </c>
      <c r="D18" s="27" t="inlineStr">
        <is>
          <t>docs/30-release/evidence/s30-audit-config-changed.txt</t>
        </is>
      </c>
      <c r="E18" s="27" t="inlineStr">
        <is>
          <t>Nothing: already passes in the repo's evidence.</t>
        </is>
      </c>
      <c r="F18" s="27" t="inlineStr">
        <is>
          <t>-</t>
        </is>
      </c>
      <c r="G18" s="27" t="inlineStr">
        <is>
          <t>No change needed (still pass; re-checked by the final evaluate step).</t>
        </is>
      </c>
    </row>
    <row r="19" ht="55.2" customHeight="1" s="18">
      <c r="A19" s="26" t="inlineStr">
        <is>
          <t>T-05</t>
        </is>
      </c>
      <c r="B19" s="27" t="inlineStr">
        <is>
          <t>not_run</t>
        </is>
      </c>
      <c r="C19" s="27" t="inlineStr">
        <is>
          <t>full hub regression: every group green and executed = expected — 11 of 31 groups run here; the full regression at the final HEAD is the orchestrator's (OD-23)</t>
        </is>
      </c>
      <c r="D19" s="27" t="inlineStr">
        <is>
          <t>docs/30-release/evidence/s30-regression-groups.txt</t>
        </is>
      </c>
      <c r="E19" s="27" t="inlineStr">
        <is>
          <t>Full 31-group regression on the final HEAD: every group green and executed = expected.</t>
        </is>
      </c>
      <c r="F19" s="27" t="inlineStr">
        <is>
          <t>Claude (run)</t>
        </is>
      </c>
      <c r="G19" s="27" t="inlineStr">
        <is>
          <t>DONE: green on Python 3.14.6, clean main a2b4828, 31 of 31 groups, 586 of 586 executed = expected at main a2b4828, before Stage 44 (main e62c9b4: 33 groups, 613 executed, 1 skip, Python 3.13 cloud sandbox; Python 3.14 re-run pending) (1 skip: python3.9 not installed). Not yet recorded in the repo's gate-results.json.</t>
        </is>
      </c>
    </row>
    <row r="20" ht="28.35" customHeight="1" s="18">
      <c r="A20" s="26" t="inlineStr">
        <is>
          <t>T-06</t>
        </is>
      </c>
      <c r="B20" s="27" t="inlineStr">
        <is>
          <t>pass</t>
        </is>
      </c>
      <c r="C20" s="27" t="inlineStr">
        <is>
          <t>characterization harness: no failure except the registered CT-13 Node drift — only CT-13 fails (Node patch drift, S24-DEV-04, registered)</t>
        </is>
      </c>
      <c r="D20" s="27" t="inlineStr">
        <is>
          <t>docs/30-release/evidence/s30-characterization.txt</t>
        </is>
      </c>
      <c r="E20" s="27" t="inlineStr">
        <is>
          <t>Nothing: already passes in the repo's evidence.</t>
        </is>
      </c>
      <c r="F20" s="27" t="inlineStr">
        <is>
          <t>-</t>
        </is>
      </c>
      <c r="G20" s="27" t="inlineStr">
        <is>
          <t>No change needed (still pass; re-checked by the final evaluate step).</t>
        </is>
      </c>
    </row>
    <row r="21" ht="55.2" customHeight="1" s="18">
      <c r="A21" s="26" t="inlineStr">
        <is>
          <t>T-07</t>
        </is>
      </c>
      <c r="B21" s="27" t="inlineStr">
        <is>
          <t>pass</t>
        </is>
      </c>
      <c r="C21" s="27" t="inlineStr">
        <is>
          <t>shipped configuration posture: shadow, empty Zone H holders, loopback, schedule off, synthetic data — hub.release posture clean on shipped defaults; hub-hardening workflow not installed (only the legacy verify.yml exists); no config sets an authority switch</t>
        </is>
      </c>
      <c r="D21" s="27" t="inlineStr">
        <is>
          <t>docs/30-release/evidence/s30-log-23-posture-after-restore.txt</t>
        </is>
      </c>
      <c r="E21" s="27" t="inlineStr">
        <is>
          <t>Nothing: already passes in the repo's evidence.</t>
        </is>
      </c>
      <c r="F21" s="27" t="inlineStr">
        <is>
          <t>-</t>
        </is>
      </c>
      <c r="G21" s="27" t="inlineStr">
        <is>
          <t>No change needed (still pass; re-checked by the final evaluate step).</t>
        </is>
      </c>
    </row>
    <row r="22" ht="28.35" customHeight="1" s="18">
      <c r="A22" s="26" t="inlineStr">
        <is>
          <t>T-08</t>
        </is>
      </c>
      <c r="B22" s="27" t="inlineStr">
        <is>
          <t>pass</t>
        </is>
      </c>
      <c r="C22" s="27" t="inlineStr">
        <is>
          <t>F-29-01 fixed with a test (verify-audit exits 17 on a malformed anchor line) — F01..F03 green; exit 17 and no traceback</t>
        </is>
      </c>
      <c r="D22" s="27" t="inlineStr">
        <is>
          <t>tests/hub/test_tst_hub_stg30_f2901.py</t>
        </is>
      </c>
      <c r="E22" s="27" t="inlineStr">
        <is>
          <t>Nothing: already passes in the repo's evidence.</t>
        </is>
      </c>
      <c r="F22" s="27" t="inlineStr">
        <is>
          <t>-</t>
        </is>
      </c>
      <c r="G22" s="27" t="inlineStr">
        <is>
          <t>No change needed (still pass; re-checked by the final evaluate step).</t>
        </is>
      </c>
    </row>
    <row r="23" ht="41.75" customHeight="1" s="18">
      <c r="A23" s="26" t="inlineStr">
        <is>
          <t>T-09</t>
        </is>
      </c>
      <c r="B23" s="27" t="inlineStr">
        <is>
          <t>fail</t>
        </is>
      </c>
      <c r="C23" s="27" t="inlineStr">
        <is>
          <t>monitoring coverage for the release window: persisted metrics, alert delivery and an owner — no persisted metrics, no alert delivery, no on-call (F-29-03, D-31-01, D-31-08)</t>
        </is>
      </c>
      <c r="D23" s="27" t="inlineStr">
        <is>
          <t>docs/31-observability/alert-catalog.md</t>
        </is>
      </c>
      <c r="E23" s="27" t="inlineStr">
        <is>
          <t>Choose option A (accept manual monitoring for the release window) or B (wire persisted metrics) on sheet 'Monitoring (T-09)'.</t>
        </is>
      </c>
      <c r="F23" s="27" t="inlineStr">
        <is>
          <t>You (choice)</t>
        </is>
      </c>
      <c r="G23" s="27" t="inlineStr">
        <is>
          <t>OPEN: needs your choice. Draft: docs in 06_Release_Readiness/T-09_Monitoring_Acceptance_Draft.md</t>
        </is>
      </c>
    </row>
    <row r="24" ht="41.75" customHeight="1" s="18">
      <c r="A24" s="26" t="inlineStr">
        <is>
          <t>T-10</t>
        </is>
      </c>
      <c r="B24" s="27" t="inlineStr">
        <is>
          <t>fail</t>
        </is>
      </c>
      <c r="C24" s="27" t="inlineStr">
        <is>
          <t>every High vulnerability and every open High finding has a recorded decision by the Engagement lead — VR-02, VR-03, VR-04 High items have no accepted disposition; F-11 and risk registers open</t>
        </is>
      </c>
      <c r="D24" s="27" t="inlineStr">
        <is>
          <t>docs/27-hardening/vulnerability-disposition.md</t>
        </is>
      </c>
      <c r="E24" s="27" t="inlineStr">
        <is>
          <t>Record a decision for VR-02, VR-03, VR-04 and F-11 on sheet 'Security (T-10)'.</t>
        </is>
      </c>
      <c r="F24" s="27" t="inlineStr">
        <is>
          <t>You (decisions)</t>
        </is>
      </c>
      <c r="G24" s="27" t="inlineStr">
        <is>
          <t>OPEN: needs your 4 decisions. Draft: 06_Release_Readiness/T-10_Security_Decisions_Draft.md</t>
        </is>
      </c>
    </row>
  </sheetData>
  <conditionalFormatting sqref="B5:B24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"not_run"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3315C"/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17" min="1" max="1"/>
    <col width="9" customWidth="1" style="17" min="2" max="2"/>
    <col width="16" customWidth="1" style="17" min="3" max="3"/>
    <col width="54" customWidth="1" style="17" min="4" max="4"/>
    <col width="50" customWidth="1" style="17" min="5" max="5"/>
    <col width="44" customWidth="1" style="17" min="6" max="6"/>
    <col width="16" customWidth="1" style="17" min="7" max="7"/>
    <col width="30" customWidth="1" style="17" min="8" max="8"/>
    <col width="24" customWidth="1" style="17" min="9" max="9"/>
    <col width="28" customWidth="1" style="17" min="10" max="10"/>
    <col width="18" customWidth="1" style="17" min="11" max="11"/>
  </cols>
  <sheetData>
    <row r="1" ht="15" customHeight="1" s="18">
      <c r="A1" s="24" t="inlineStr">
        <is>
          <t>Approval register: 40 records. Yellow = yours. Recommended defaults are proposals from the repo (OD-32), not decisions.</t>
        </is>
      </c>
    </row>
    <row r="2" ht="15" customHeight="1" s="18">
      <c r="A2" s="20" t="inlineStr">
        <is>
          <t>Level: GO-shadow = needed for 'GO (shadow)'. CUT-n = needed only for that cutover step; leave OPEN unless you are ready to cut over.</t>
        </is>
      </c>
    </row>
    <row r="3"/>
    <row r="4" ht="31.5" customHeight="1" s="18">
      <c r="A4" s="25" t="inlineStr">
        <is>
          <t>ID</t>
        </is>
      </c>
      <c r="B4" s="25" t="inlineStr">
        <is>
          <t>Scope</t>
        </is>
      </c>
      <c r="C4" s="25" t="inlineStr">
        <is>
          <t>Needed for</t>
        </is>
      </c>
      <c r="D4" s="25" t="inlineStr">
        <is>
          <t>Decision to take</t>
        </is>
      </c>
      <c r="E4" s="25" t="inlineStr">
        <is>
          <t>Agent recommended default (not a decision)</t>
        </is>
      </c>
      <c r="F4" s="25" t="inlineStr">
        <is>
          <t>Read first</t>
        </is>
      </c>
      <c r="G4" s="25" t="inlineStr">
        <is>
          <t>YOUR DECISION</t>
        </is>
      </c>
      <c r="H4" s="25" t="inlineStr">
        <is>
          <t>Your note (optional)</t>
        </is>
      </c>
      <c r="I4" s="25" t="inlineStr">
        <is>
          <t>approval_ref (auto if empty)</t>
        </is>
      </c>
      <c r="J4" s="25" t="inlineStr">
        <is>
          <t>evidence_ref (auto if empty)</t>
        </is>
      </c>
      <c r="K4" s="25" t="inlineStr">
        <is>
          <t>Check</t>
        </is>
      </c>
    </row>
    <row r="5" ht="28.35" customHeight="1" s="18">
      <c r="A5" s="26" t="inlineStr">
        <is>
          <t>AP-REL-01</t>
        </is>
      </c>
      <c r="B5" s="27" t="inlineStr">
        <is>
          <t>REL</t>
        </is>
      </c>
      <c r="C5" s="27" t="inlineStr">
        <is>
          <t>GO (shadow)</t>
        </is>
      </c>
      <c r="D5" s="27" t="inlineStr">
        <is>
          <t>Release decision (go / no-go) for the hub in shadow mode</t>
        </is>
      </c>
      <c r="E5" s="27" t="inlineStr">
        <is>
          <t>no-go until every technical criterion passes and AP-GATE-*, AP-OPS-* (REL) are recorded</t>
        </is>
      </c>
      <c r="F5" s="27" t="inlineStr">
        <is>
          <t>docs/30-release/go-no-go-criteria.md; this workbook, sheet Technical</t>
        </is>
      </c>
      <c r="G5" s="28" t="inlineStr">
        <is>
          <t>OPEN</t>
        </is>
      </c>
      <c r="H5" s="28" t="n"/>
      <c r="I5" s="28" t="n"/>
      <c r="J5" s="28" t="n"/>
      <c r="K5" s="29">
        <f>IF(G5="APPROVED",IF(OR('Start here'!$C$13="",'Start here'!$C$14=""),"fill name/date on Start here","counts"),IF(G5="REJECTED","recorded as rejected","open"))</f>
        <v/>
      </c>
    </row>
    <row r="6" ht="41.75" customHeight="1" s="18">
      <c r="A6" s="26" t="inlineStr">
        <is>
          <t>AP-GATE-G1</t>
        </is>
      </c>
      <c r="B6" s="27" t="inlineStr">
        <is>
          <t>REL</t>
        </is>
      </c>
      <c r="C6" s="27" t="inlineStr">
        <is>
          <t>GO (shadow)</t>
        </is>
      </c>
      <c r="D6" s="27" t="inlineStr">
        <is>
          <t>Human acknowledgement of the evidence for gate G1: golden diff: unapproved differences = 0</t>
        </is>
      </c>
      <c r="E6" s="27" t="inlineStr">
        <is>
          <t>acknowledge only after reading the evidence file named in gate-results.json; G1 cannot pass while any DV row is proposed</t>
        </is>
      </c>
      <c r="F6" s="27" t="inlineStr">
        <is>
          <t>docs/30-release/evidence/s30-log-06-golden-compare.txt</t>
        </is>
      </c>
      <c r="G6" s="28" t="inlineStr">
        <is>
          <t>OPEN</t>
        </is>
      </c>
      <c r="H6" s="28" t="n"/>
      <c r="I6" s="28" t="n"/>
      <c r="J6" s="28" t="n"/>
      <c r="K6" s="29">
        <f>IF(G6="APPROVED",IF(OR('Start here'!$C$13="",'Start here'!$C$14=""),"fill name/date on Start here","counts"),IF(G6="REJECTED","recorded as rejected","open"))</f>
        <v/>
      </c>
    </row>
    <row r="7" ht="28.35" customHeight="1" s="18">
      <c r="A7" s="26" t="inlineStr">
        <is>
          <t>AP-GATE-G2</t>
        </is>
      </c>
      <c r="B7" s="27" t="inlineStr">
        <is>
          <t>REL</t>
        </is>
      </c>
      <c r="C7" s="27" t="inlineStr">
        <is>
          <t>GO (shadow)</t>
        </is>
      </c>
      <c r="D7" s="27" t="inlineStr">
        <is>
          <t>Human acknowledgement of the evidence for gate G2: replay-safety suite (AC-INT-04/05) passes</t>
        </is>
      </c>
      <c r="E7" s="27" t="inlineStr">
        <is>
          <t>acknowledge after reading the evidence file named in gate-results.json</t>
        </is>
      </c>
      <c r="F7" s="27" t="inlineStr">
        <is>
          <t>docs/30-release/evidence/s30-regression-groups.txt</t>
        </is>
      </c>
      <c r="G7" s="28" t="inlineStr">
        <is>
          <t>OPEN</t>
        </is>
      </c>
      <c r="H7" s="28" t="n"/>
      <c r="I7" s="28" t="n"/>
      <c r="J7" s="28" t="n"/>
      <c r="K7" s="29">
        <f>IF(G7="APPROVED",IF(OR('Start here'!$C$13="",'Start here'!$C$14=""),"fill name/date on Start here","counts"),IF(G7="REJECTED","recorded as rejected","open"))</f>
        <v/>
      </c>
    </row>
    <row r="8" ht="28.35" customHeight="1" s="18">
      <c r="A8" s="26" t="inlineStr">
        <is>
          <t>AP-GATE-G3</t>
        </is>
      </c>
      <c r="B8" s="27" t="inlineStr">
        <is>
          <t>REL</t>
        </is>
      </c>
      <c r="C8" s="27" t="inlineStr">
        <is>
          <t>GO (shadow)</t>
        </is>
      </c>
      <c r="D8" s="27" t="inlineStr">
        <is>
          <t>Human acknowledgement of the evidence for gate G3: verify-audit ok</t>
        </is>
      </c>
      <c r="E8" s="27" t="inlineStr">
        <is>
          <t>acknowledge after reading the evidence file named in gate-results.json</t>
        </is>
      </c>
      <c r="F8" s="27" t="inlineStr">
        <is>
          <t>docs/30-release/evidence/s30-log-04-verify-audit.txt</t>
        </is>
      </c>
      <c r="G8" s="28" t="inlineStr">
        <is>
          <t>OPEN</t>
        </is>
      </c>
      <c r="H8" s="28" t="n"/>
      <c r="I8" s="28" t="n"/>
      <c r="J8" s="28" t="n"/>
      <c r="K8" s="29">
        <f>IF(G8="APPROVED",IF(OR('Start here'!$C$13="",'Start here'!$C$14=""),"fill name/date on Start here","counts"),IF(G8="REJECTED","recorded as rejected","open"))</f>
        <v/>
      </c>
    </row>
    <row r="9" ht="28.35" customHeight="1" s="18">
      <c r="A9" s="26" t="inlineStr">
        <is>
          <t>AP-GATE-G4</t>
        </is>
      </c>
      <c r="B9" s="27" t="inlineStr">
        <is>
          <t>REL</t>
        </is>
      </c>
      <c r="C9" s="27" t="inlineStr">
        <is>
          <t>GO (shadow)</t>
        </is>
      </c>
      <c r="D9" s="27" t="inlineStr">
        <is>
          <t>Human acknowledgement of the evidence for gate G4: verify-projection 0 mismatches</t>
        </is>
      </c>
      <c r="E9" s="27" t="inlineStr">
        <is>
          <t>acknowledge after reading the evidence file named in gate-results.json</t>
        </is>
      </c>
      <c r="F9" s="27" t="inlineStr">
        <is>
          <t>docs/30-release/evidence/s30-regression-groups.txt</t>
        </is>
      </c>
      <c r="G9" s="28" t="inlineStr">
        <is>
          <t>OPEN</t>
        </is>
      </c>
      <c r="H9" s="28" t="n"/>
      <c r="I9" s="28" t="n"/>
      <c r="J9" s="28" t="n"/>
      <c r="K9" s="29">
        <f>IF(G9="APPROVED",IF(OR('Start here'!$C$13="",'Start here'!$C$14=""),"fill name/date on Start here","counts"),IF(G9="REJECTED","recorded as rejected","open"))</f>
        <v/>
      </c>
    </row>
    <row r="10" ht="28.35" customHeight="1" s="18">
      <c r="A10" s="26" t="inlineStr">
        <is>
          <t>AP-GATE-G5</t>
        </is>
      </c>
      <c r="B10" s="27" t="inlineStr">
        <is>
          <t>REL</t>
        </is>
      </c>
      <c r="C10" s="27" t="inlineStr">
        <is>
          <t>GO (shadow)</t>
        </is>
      </c>
      <c r="D10" s="27" t="inlineStr">
        <is>
          <t>Human acknowledgement of the evidence for gate G5: No-AI tripwire: deny-list clean, no egress, model_calls_total = 0 (shipped default ai.enabled=false; Stage 44 adds a gated, off-by-default Azure OpenAI path)</t>
        </is>
      </c>
      <c r="E10" s="27" t="inlineStr">
        <is>
          <t>acknowledge after reading the evidence file named in gate-results.json</t>
        </is>
      </c>
      <c r="F10" s="27" t="inlineStr">
        <is>
          <t>docs/30-release/evidence/s30-regression-groups.txt</t>
        </is>
      </c>
      <c r="G10" s="28" t="inlineStr">
        <is>
          <t>OPEN</t>
        </is>
      </c>
      <c r="H10" s="28" t="n"/>
      <c r="I10" s="28" t="n"/>
      <c r="J10" s="28" t="n"/>
      <c r="K10" s="29">
        <f>IF(G10="APPROVED",IF(OR('Start here'!$C$13="",'Start here'!$C$14=""),"fill name/date on Start here","counts"),IF(G10="REJECTED","recorded as rejected","open"))</f>
        <v/>
      </c>
    </row>
    <row r="11" ht="28.35" customHeight="1" s="18">
      <c r="A11" s="26" t="inlineStr">
        <is>
          <t>AP-GATE-G6</t>
        </is>
      </c>
      <c r="B11" s="27" t="inlineStr">
        <is>
          <t>REL</t>
        </is>
      </c>
      <c r="C11" s="27" t="inlineStr">
        <is>
          <t>GO (shadow)</t>
        </is>
      </c>
      <c r="D11" s="27" t="inlineStr">
        <is>
          <t>Human acknowledgement of the evidence for gate G6: secret scan 0; deletion-path grep 0</t>
        </is>
      </c>
      <c r="E11" s="27" t="inlineStr">
        <is>
          <t>acknowledge after reading the evidence file named in gate-results.json</t>
        </is>
      </c>
      <c r="F11" s="27" t="inlineStr">
        <is>
          <t>docs/30-release/evidence/s30-log-09b-release-checklist-no-mark.txt</t>
        </is>
      </c>
      <c r="G11" s="28" t="inlineStr">
        <is>
          <t>OPEN</t>
        </is>
      </c>
      <c r="H11" s="28" t="n"/>
      <c r="I11" s="28" t="n"/>
      <c r="J11" s="28" t="n"/>
      <c r="K11" s="29">
        <f>IF(G11="APPROVED",IF(OR('Start here'!$C$13="",'Start here'!$C$14=""),"fill name/date on Start here","counts"),IF(G11="REJECTED","recorded as rejected","open"))</f>
        <v/>
      </c>
    </row>
    <row r="12" ht="28.35" customHeight="1" s="18">
      <c r="A12" s="26" t="inlineStr">
        <is>
          <t>AP-GATE-G7</t>
        </is>
      </c>
      <c r="B12" s="27" t="inlineStr">
        <is>
          <t>REL</t>
        </is>
      </c>
      <c r="C12" s="27" t="inlineStr">
        <is>
          <t>GO (shadow)</t>
        </is>
      </c>
      <c r="D12" s="27" t="inlineStr">
        <is>
          <t>Human acknowledgement of the evidence for gate G7: backup/restore rehearsal checksum match</t>
        </is>
      </c>
      <c r="E12" s="27" t="inlineStr">
        <is>
          <t>acknowledge after reading the evidence file named in gate-results.json</t>
        </is>
      </c>
      <c r="F12" s="27" t="inlineStr">
        <is>
          <t>docs/30-release/evidence/s30-log-09b-release-checklist-no-mark.txt</t>
        </is>
      </c>
      <c r="G12" s="28" t="inlineStr">
        <is>
          <t>OPEN</t>
        </is>
      </c>
      <c r="H12" s="28" t="n"/>
      <c r="I12" s="28" t="n"/>
      <c r="J12" s="28" t="n"/>
      <c r="K12" s="29">
        <f>IF(G12="APPROVED",IF(OR('Start here'!$C$13="",'Start here'!$C$14=""),"fill name/date on Start here","counts"),IF(G12="REJECTED","recorded as rejected","open"))</f>
        <v/>
      </c>
    </row>
    <row r="13" ht="28.35" customHeight="1" s="18">
      <c r="A13" s="26" t="inlineStr">
        <is>
          <t>AP-GATE-G8</t>
        </is>
      </c>
      <c r="B13" s="27" t="inlineStr">
        <is>
          <t>REL</t>
        </is>
      </c>
      <c r="C13" s="27" t="inlineStr">
        <is>
          <t>GO (shadow)</t>
        </is>
      </c>
      <c r="D13" s="27" t="inlineStr">
        <is>
          <t>Human acknowledgement of the evidence for gate G8: Zone H negative tests (AC-GATE-09/11/12) pass</t>
        </is>
      </c>
      <c r="E13" s="27" t="inlineStr">
        <is>
          <t>acknowledge after reading the evidence file named in gate-results.json</t>
        </is>
      </c>
      <c r="F13" s="27" t="inlineStr">
        <is>
          <t>docs/30-release/evidence/s30-regression-groups.txt</t>
        </is>
      </c>
      <c r="G13" s="28" t="inlineStr">
        <is>
          <t>OPEN</t>
        </is>
      </c>
      <c r="H13" s="28" t="n"/>
      <c r="I13" s="28" t="n"/>
      <c r="J13" s="28" t="n"/>
      <c r="K13" s="29">
        <f>IF(G13="APPROVED",IF(OR('Start here'!$C$13="",'Start here'!$C$14=""),"fill name/date on Start here","counts"),IF(G13="REJECTED","recorded as rejected","open"))</f>
        <v/>
      </c>
    </row>
    <row r="14" ht="28.35" customHeight="1" s="18">
      <c r="A14" s="26" t="inlineStr">
        <is>
          <t>AP-GATE-G9</t>
        </is>
      </c>
      <c r="B14" s="27" t="inlineStr">
        <is>
          <t>REL</t>
        </is>
      </c>
      <c r="C14" s="27" t="inlineStr">
        <is>
          <t>GO (shadow)</t>
        </is>
      </c>
      <c r="D14" s="27" t="inlineStr">
        <is>
          <t>Human acknowledgement of the evidence for gate G9: planted-string fixture suite (86/22/44) 0 effects</t>
        </is>
      </c>
      <c r="E14" s="27" t="inlineStr">
        <is>
          <t>acknowledge after reading the evidence file named in gate-results.json</t>
        </is>
      </c>
      <c r="F14" s="27" t="inlineStr">
        <is>
          <t>docs/30-release/evidence/s30-regression-groups.txt</t>
        </is>
      </c>
      <c r="G14" s="28" t="inlineStr">
        <is>
          <t>OPEN</t>
        </is>
      </c>
      <c r="H14" s="28" t="n"/>
      <c r="I14" s="28" t="n"/>
      <c r="J14" s="28" t="n"/>
      <c r="K14" s="29">
        <f>IF(G14="APPROVED",IF(OR('Start here'!$C$13="",'Start here'!$C$14=""),"fill name/date on Start here","counts"),IF(G14="REJECTED","recorded as rejected","open"))</f>
        <v/>
      </c>
    </row>
    <row r="15" ht="28.35" customHeight="1" s="18">
      <c r="A15" s="26" t="inlineStr">
        <is>
          <t>AP-GATE-G10</t>
        </is>
      </c>
      <c r="B15" s="27" t="inlineStr">
        <is>
          <t>REL</t>
        </is>
      </c>
      <c r="C15" s="27" t="inlineStr">
        <is>
          <t>GO (shadow)</t>
        </is>
      </c>
      <c r="D15" s="27" t="inlineStr">
        <is>
          <t>Human acknowledgement of the evidence for gate G10: determinism: bit-identical across PYTHONHASHSEED/TZ/locale</t>
        </is>
      </c>
      <c r="E15" s="27" t="inlineStr">
        <is>
          <t>acknowledge after reading the evidence file named in gate-results.json</t>
        </is>
      </c>
      <c r="F15" s="27" t="inlineStr">
        <is>
          <t>docs/30-release/evidence/s30-regression-groups.txt</t>
        </is>
      </c>
      <c r="G15" s="28" t="inlineStr">
        <is>
          <t>OPEN</t>
        </is>
      </c>
      <c r="H15" s="28" t="n"/>
      <c r="I15" s="28" t="n"/>
      <c r="J15" s="28" t="n"/>
      <c r="K15" s="29">
        <f>IF(G15="APPROVED",IF(OR('Start here'!$C$13="",'Start here'!$C$14=""),"fill name/date on Start here","counts"),IF(G15="REJECTED","recorded as rejected","open"))</f>
        <v/>
      </c>
    </row>
    <row r="16" ht="28.35" customHeight="1" s="18">
      <c r="A16" s="26" t="inlineStr">
        <is>
          <t>AP-DV-01</t>
        </is>
      </c>
      <c r="B16" s="27" t="inlineStr">
        <is>
          <t>CUT</t>
        </is>
      </c>
      <c r="C16" s="27" t="inlineStr">
        <is>
          <t>G1 + CUT-4</t>
        </is>
      </c>
      <c r="D16" s="27" t="inlineStr">
        <is>
          <t>Preserve-or-fix decision for DV-01: SQL month-end total 742,956.61 (join fan-out) becomes 622,826.44</t>
        </is>
      </c>
      <c r="E16" s="27" t="inlineStr">
        <is>
          <t>fix (adopt the hub figure) for CUT-4; keep legacy report running as comparator</t>
        </is>
      </c>
      <c r="F16" s="27" t="inlineStr">
        <is>
          <t>hub/coexistence/seed_s20.json (DV-01); docs/30-release/evidence/s30-log-06-golden-compare.txt</t>
        </is>
      </c>
      <c r="G16" s="28" t="inlineStr">
        <is>
          <t>OPEN</t>
        </is>
      </c>
      <c r="H16" s="28" t="n"/>
      <c r="I16" s="28" t="n"/>
      <c r="J16" s="28" t="n"/>
      <c r="K16" s="29">
        <f>IF(G16="APPROVED",IF(OR('Start here'!$C$13="",'Start here'!$C$14=""),"fill name/date on Start here","counts"),IF(G16="REJECTED","recorded as rejected","open"))</f>
        <v/>
      </c>
    </row>
    <row r="17" ht="41.75" customHeight="1" s="18">
      <c r="A17" s="26" t="inlineStr">
        <is>
          <t>AP-DV-02</t>
        </is>
      </c>
      <c r="B17" s="27" t="inlineStr">
        <is>
          <t>CUT</t>
        </is>
      </c>
      <c r="C17" s="27" t="inlineStr">
        <is>
          <t>G1 + CUT-3</t>
        </is>
      </c>
      <c r="D17" s="27" t="inlineStr">
        <is>
          <t>Preserve-or-fix decision for DV-02: replayed message: legacy DUPLICATE 64 becomes NOOP_DUPLICATE 67 / REVISED_CONFLICT</t>
        </is>
      </c>
      <c r="E17" s="27" t="inlineStr">
        <is>
          <t>fix</t>
        </is>
      </c>
      <c r="F17" s="27" t="inlineStr">
        <is>
          <t>hub/coexistence/seed_s20.json (DV-02); docs/30-release/evidence/s30-log-06-golden-compare.txt</t>
        </is>
      </c>
      <c r="G17" s="28" t="inlineStr">
        <is>
          <t>OPEN</t>
        </is>
      </c>
      <c r="H17" s="28" t="n"/>
      <c r="I17" s="28" t="n"/>
      <c r="J17" s="28" t="n"/>
      <c r="K17" s="29">
        <f>IF(G17="APPROVED",IF(OR('Start here'!$C$13="",'Start here'!$C$14=""),"fill name/date on Start here","counts"),IF(G17="REJECTED","recorded as rejected","open"))</f>
        <v/>
      </c>
    </row>
    <row r="18" ht="41.75" customHeight="1" s="18">
      <c r="A18" s="26" t="inlineStr">
        <is>
          <t>AP-DV-03</t>
        </is>
      </c>
      <c r="B18" s="27" t="inlineStr">
        <is>
          <t>CUT</t>
        </is>
      </c>
      <c r="C18" s="27" t="inlineStr">
        <is>
          <t>G1 + CUT-3</t>
        </is>
      </c>
      <c r="D18" s="27" t="inlineStr">
        <is>
          <t>Preserve-or-fix decision for DV-03: quantity out of range: legacy REJECTED 154 becomes NEGATIVE_VALUE flag, item kept</t>
        </is>
      </c>
      <c r="E18" s="27" t="inlineStr">
        <is>
          <t>change of class: adopt as built</t>
        </is>
      </c>
      <c r="F18" s="27" t="inlineStr">
        <is>
          <t>hub/coexistence/seed_s20.json (DV-03); docs/30-release/evidence/s30-log-06-golden-compare.txt</t>
        </is>
      </c>
      <c r="G18" s="28" t="inlineStr">
        <is>
          <t>OPEN</t>
        </is>
      </c>
      <c r="H18" s="28" t="n"/>
      <c r="I18" s="28" t="n"/>
      <c r="J18" s="28" t="n"/>
      <c r="K18" s="29">
        <f>IF(G18="APPROVED",IF(OR('Start here'!$C$13="",'Start here'!$C$14=""),"fill name/date on Start here","counts"),IF(G18="REJECTED","recorded as rejected","open"))</f>
        <v/>
      </c>
    </row>
    <row r="19" ht="28.35" customHeight="1" s="18">
      <c r="A19" s="26" t="inlineStr">
        <is>
          <t>AP-DV-04</t>
        </is>
      </c>
      <c r="B19" s="27" t="inlineStr">
        <is>
          <t>CUT</t>
        </is>
      </c>
      <c r="C19" s="27" t="inlineStr">
        <is>
          <t>G1 + CUT-4</t>
        </is>
      </c>
      <c r="D19" s="27" t="inlineStr">
        <is>
          <t>Preserve-or-fix decision for DV-04: Java blank amounts: silently skipped becomes UNPARSABLE_AMOUNT quarantine</t>
        </is>
      </c>
      <c r="E19" s="27" t="inlineStr">
        <is>
          <t>fix</t>
        </is>
      </c>
      <c r="F19" s="27" t="inlineStr">
        <is>
          <t>hub/coexistence/seed_s20.json (DV-04); docs/30-release/evidence/s30-log-06-golden-compare.txt</t>
        </is>
      </c>
      <c r="G19" s="28" t="inlineStr">
        <is>
          <t>OPEN</t>
        </is>
      </c>
      <c r="H19" s="28" t="n"/>
      <c r="I19" s="28" t="n"/>
      <c r="J19" s="28" t="n"/>
      <c r="K19" s="29">
        <f>IF(G19="APPROVED",IF(OR('Start here'!$C$13="",'Start here'!$C$14=""),"fill name/date on Start here","counts"),IF(G19="REJECTED","recorded as rejected","open"))</f>
        <v/>
      </c>
    </row>
    <row r="20" ht="28.35" customHeight="1" s="18">
      <c r="A20" s="26" t="inlineStr">
        <is>
          <t>AP-DV-05</t>
        </is>
      </c>
      <c r="B20" s="27" t="inlineStr">
        <is>
          <t>CUT</t>
        </is>
      </c>
      <c r="C20" s="27" t="inlineStr">
        <is>
          <t>G1 + CUT-2</t>
        </is>
      </c>
      <c r="D20" s="27" t="inlineStr">
        <is>
          <t>Preserve-or-fix decision for DV-05: JS tolerance with 'abc' / null becomes E-POL-INPUT-INVALID</t>
        </is>
      </c>
      <c r="E20" s="27" t="inlineStr">
        <is>
          <t>fix</t>
        </is>
      </c>
      <c r="F20" s="27" t="inlineStr">
        <is>
          <t>hub/coexistence/seed_s20.json (DV-05); docs/30-release/evidence/s30-log-06-golden-compare.txt</t>
        </is>
      </c>
      <c r="G20" s="28" t="inlineStr">
        <is>
          <t>OPEN</t>
        </is>
      </c>
      <c r="H20" s="28" t="n"/>
      <c r="I20" s="28" t="n"/>
      <c r="J20" s="28" t="n"/>
      <c r="K20" s="29">
        <f>IF(G20="APPROVED",IF(OR('Start here'!$C$13="",'Start here'!$C$14=""),"fill name/date on Start here","counts"),IF(G20="REJECTED","recorded as rejected","open"))</f>
        <v/>
      </c>
    </row>
    <row r="21" ht="28.35" customHeight="1" s="18">
      <c r="A21" s="26" t="inlineStr">
        <is>
          <t>AP-DV-06</t>
        </is>
      </c>
      <c r="B21" s="27" t="inlineStr">
        <is>
          <t>CUT</t>
        </is>
      </c>
      <c r="C21" s="27" t="inlineStr">
        <is>
          <t>G1 + CUT-2</t>
        </is>
      </c>
      <c r="D21" s="27" t="inlineStr">
        <is>
          <t>Preserve-or-fix decision for DV-06: unknown region / year 999999 becomes the same value marked defaulted</t>
        </is>
      </c>
      <c r="E21" s="27" t="inlineStr">
        <is>
          <t>accept the additive marker</t>
        </is>
      </c>
      <c r="F21" s="27" t="inlineStr">
        <is>
          <t>hub/coexistence/seed_s20.json (DV-06); docs/30-release/evidence/s30-log-06-golden-compare.txt</t>
        </is>
      </c>
      <c r="G21" s="28" t="inlineStr">
        <is>
          <t>OPEN</t>
        </is>
      </c>
      <c r="H21" s="28" t="n"/>
      <c r="I21" s="28" t="n"/>
      <c r="J21" s="28" t="n"/>
      <c r="K21" s="29">
        <f>IF(G21="APPROVED",IF(OR('Start here'!$C$13="",'Start here'!$C$14=""),"fill name/date on Start here","counts"),IF(G21="REJECTED","recorded as rejected","open"))</f>
        <v/>
      </c>
    </row>
    <row r="22" ht="41.75" customHeight="1" s="18">
      <c r="A22" s="26" t="inlineStr">
        <is>
          <t>AP-DV-07</t>
        </is>
      </c>
      <c r="B22" s="27" t="inlineStr">
        <is>
          <t>CUT</t>
        </is>
      </c>
      <c r="C22" s="27" t="inlineStr">
        <is>
          <t>G1 + CUT-3</t>
        </is>
      </c>
      <c r="D22" s="27" t="inlineStr">
        <is>
          <t>Preserve-or-fix decision for DV-07: reconcile overwrites status in place becomes append-only outcomes (DV-07a: outcome classification EXCEPTION 8,109 etc.)</t>
        </is>
      </c>
      <c r="E22" s="27" t="inlineStr">
        <is>
          <t>fix, after Dinesh has seen the 7,903 UNMATCHED_REF volume</t>
        </is>
      </c>
      <c r="F22" s="27" t="inlineStr">
        <is>
          <t>hub/coexistence/seed_s20.json (DV-07); docs/30-release/evidence/s30-log-06-golden-compare.txt</t>
        </is>
      </c>
      <c r="G22" s="28" t="inlineStr">
        <is>
          <t>OPEN</t>
        </is>
      </c>
      <c r="H22" s="28" t="n"/>
      <c r="I22" s="28" t="n"/>
      <c r="J22" s="28" t="n"/>
      <c r="K22" s="29">
        <f>IF(G22="APPROVED",IF(OR('Start here'!$C$13="",'Start here'!$C$14=""),"fill name/date on Start here","counts"),IF(G22="REJECTED","recorded as rejected","open"))</f>
        <v/>
      </c>
    </row>
    <row r="23" ht="41.75" customHeight="1" s="18">
      <c r="A23" s="26" t="inlineStr">
        <is>
          <t>AP-DV-08</t>
        </is>
      </c>
      <c r="B23" s="27" t="inlineStr">
        <is>
          <t>CUT</t>
        </is>
      </c>
      <c r="C23" s="27" t="inlineStr">
        <is>
          <t>G1 + CUT-4</t>
        </is>
      </c>
      <c r="D23" s="27" t="inlineStr">
        <is>
          <t>Preserve-or-fix decision for DV-08: night-shift distinct objects 118 vs 500 (reference query, no batch job built; weak evidence)</t>
        </is>
      </c>
      <c r="E23" s="27" t="inlineStr">
        <is>
          <t>do not cut over this figure; keep legacy authoritative until a hub job exists</t>
        </is>
      </c>
      <c r="F23" s="27" t="inlineStr">
        <is>
          <t>hub/coexistence/seed_s20.json (DV-08); docs/30-release/evidence/s30-log-06-golden-compare.txt</t>
        </is>
      </c>
      <c r="G23" s="28" t="inlineStr">
        <is>
          <t>OPEN</t>
        </is>
      </c>
      <c r="H23" s="28" t="n"/>
      <c r="I23" s="28" t="n"/>
      <c r="J23" s="28" t="n"/>
      <c r="K23" s="29">
        <f>IF(G23="APPROVED",IF(OR('Start here'!$C$13="",'Start here'!$C$14=""),"fill name/date on Start here","counts"),IF(G23="REJECTED","recorded as rejected","open"))</f>
        <v/>
      </c>
    </row>
    <row r="24" ht="41.75" customHeight="1" s="18">
      <c r="A24" s="26" t="inlineStr">
        <is>
          <t>AP-DV-09</t>
        </is>
      </c>
      <c r="B24" s="27" t="inlineStr">
        <is>
          <t>CUT</t>
        </is>
      </c>
      <c r="C24" s="27" t="inlineStr">
        <is>
          <t>G1 + CUT-3</t>
        </is>
      </c>
      <c r="D24" s="27" t="inlineStr">
        <is>
          <t>Preserve-or-fix decision for DV-09: invalid gateway event: counted, not stored becomes quarantined, stored (label MISSING_ENVELOPE_FIELD)</t>
        </is>
      </c>
      <c r="E24" s="27" t="inlineStr">
        <is>
          <t>fix, with the corrected label</t>
        </is>
      </c>
      <c r="F24" s="27" t="inlineStr">
        <is>
          <t>hub/coexistence/seed_s20.json (DV-09); docs/30-release/evidence/s30-log-06-golden-compare.txt</t>
        </is>
      </c>
      <c r="G24" s="28" t="inlineStr">
        <is>
          <t>OPEN</t>
        </is>
      </c>
      <c r="H24" s="28" t="n"/>
      <c r="I24" s="28" t="n"/>
      <c r="J24" s="28" t="n"/>
      <c r="K24" s="29">
        <f>IF(G24="APPROVED",IF(OR('Start here'!$C$13="",'Start here'!$C$14=""),"fill name/date on Start here","counts"),IF(G24="REJECTED","recorded as rejected","open"))</f>
        <v/>
      </c>
    </row>
    <row r="25" ht="41.75" customHeight="1" s="18">
      <c r="A25" s="26" t="inlineStr">
        <is>
          <t>AP-DV-10</t>
        </is>
      </c>
      <c r="B25" s="27" t="inlineStr">
        <is>
          <t>CUT</t>
        </is>
      </c>
      <c r="C25" s="27" t="inlineStr">
        <is>
          <t>G1 + CUT-3</t>
        </is>
      </c>
      <c r="D25" s="27" t="inlineStr">
        <is>
          <t>Preserve-or-fix decision for DV-10: partner outcomes: exact ref_id matching, most legacy-ACCEPTED rows become EXCEPTION / UNMATCHED_REF (proposed row)</t>
        </is>
      </c>
      <c r="E25" s="27" t="inlineStr">
        <is>
          <t>fix (exact match, BEH-INT-08)</t>
        </is>
      </c>
      <c r="F25" s="27" t="inlineStr">
        <is>
          <t>hub/coexistence/seed_s20.json (DV-10); docs/30-release/evidence/s30-log-06-golden-compare.txt</t>
        </is>
      </c>
      <c r="G25" s="28" t="inlineStr">
        <is>
          <t>OPEN</t>
        </is>
      </c>
      <c r="H25" s="28" t="n"/>
      <c r="I25" s="28" t="n"/>
      <c r="J25" s="28" t="n"/>
      <c r="K25" s="29">
        <f>IF(G25="APPROVED",IF(OR('Start here'!$C$13="",'Start here'!$C$14=""),"fill name/date on Start here","counts"),IF(G25="REJECTED","recorded as rejected","open"))</f>
        <v/>
      </c>
    </row>
    <row r="26" ht="41.75" customHeight="1" s="18">
      <c r="A26" s="26" t="inlineStr">
        <is>
          <t>AP-DV-11</t>
        </is>
      </c>
      <c r="B26" s="27" t="inlineStr">
        <is>
          <t>CUT</t>
        </is>
      </c>
      <c r="C26" s="27" t="inlineStr">
        <is>
          <t>G1 + CUT-2</t>
        </is>
      </c>
      <c r="D26" s="27" t="inlineStr">
        <is>
          <t>Preserve-or-fix decision for DV-11: JS partial-year threshold: prefix match 15000 becomes 999999 defaulted (proposed row, DEV-29)</t>
        </is>
      </c>
      <c r="E26" s="27" t="inlineStr">
        <is>
          <t>fix (4-digit year required)</t>
        </is>
      </c>
      <c r="F26" s="27" t="inlineStr">
        <is>
          <t>hub/coexistence/seed_s20.json (DV-11); docs/30-release/evidence/s30-log-06-golden-compare.txt</t>
        </is>
      </c>
      <c r="G26" s="28" t="inlineStr">
        <is>
          <t>OPEN</t>
        </is>
      </c>
      <c r="H26" s="28" t="n"/>
      <c r="I26" s="28" t="n"/>
      <c r="J26" s="28" t="n"/>
      <c r="K26" s="29">
        <f>IF(G26="APPROVED",IF(OR('Start here'!$C$13="",'Start here'!$C$14=""),"fill name/date on Start here","counts"),IF(G26="REJECTED","recorded as rejected","open"))</f>
        <v/>
      </c>
    </row>
    <row r="27" ht="41.75" customHeight="1" s="18">
      <c r="A27" s="26" t="inlineStr">
        <is>
          <t>AP-CUT-1</t>
        </is>
      </c>
      <c r="B27" s="27" t="inlineStr">
        <is>
          <t>CUT</t>
        </is>
      </c>
      <c r="C27" s="27" t="inlineStr">
        <is>
          <t>CUT-1</t>
        </is>
      </c>
      <c r="D27" s="27" t="inlineStr">
        <is>
          <t>Decision to make 'decision and evidence record, audit' authoritative (CUT-1)</t>
        </is>
      </c>
      <c r="E27" s="27" t="inlineStr">
        <is>
          <t>decide last of the value-bearing steps only after the Zone H and closure questions are answered; keep shadow until then</t>
        </is>
      </c>
      <c r="F27" s="27" t="inlineStr">
        <is>
          <t>docs/14-transformation/cutover-plan.md; docs/30-release/release-approvals.md</t>
        </is>
      </c>
      <c r="G27" s="28" t="inlineStr">
        <is>
          <t>OPEN</t>
        </is>
      </c>
      <c r="H27" s="28" t="n"/>
      <c r="I27" s="28" t="n"/>
      <c r="J27" s="28" t="n"/>
      <c r="K27" s="29">
        <f>IF(G27="APPROVED",IF(OR('Start here'!$C$13="",'Start here'!$C$14=""),"fill name/date on Start here","counts"),IF(G27="REJECTED","recorded as rejected","open"))</f>
        <v/>
      </c>
    </row>
    <row r="28" ht="41.75" customHeight="1" s="18">
      <c r="A28" s="26" t="inlineStr">
        <is>
          <t>AP-CUT-2</t>
        </is>
      </c>
      <c r="B28" s="27" t="inlineStr">
        <is>
          <t>CUT</t>
        </is>
      </c>
      <c r="C28" s="27" t="inlineStr">
        <is>
          <t>CUT-2</t>
        </is>
      </c>
      <c r="D28" s="27" t="inlineStr">
        <is>
          <t>Decision to make 'rule evaluation' authoritative (CUT-2)</t>
        </is>
      </c>
      <c r="E28" s="27" t="inlineStr">
        <is>
          <t>first step in the recommended order (CUT-2, CUT-1, CUT-3, CUT-4, CUT-5); needs DV-05, DV-06, DV-11 and OD-S12-04</t>
        </is>
      </c>
      <c r="F28" s="27" t="inlineStr">
        <is>
          <t>docs/14-transformation/cutover-plan.md; docs/30-release/release-approvals.md</t>
        </is>
      </c>
      <c r="G28" s="28" t="inlineStr">
        <is>
          <t>OPEN</t>
        </is>
      </c>
      <c r="H28" s="28" t="n"/>
      <c r="I28" s="28" t="n"/>
      <c r="J28" s="28" t="n"/>
      <c r="K28" s="29">
        <f>IF(G28="APPROVED",IF(OR('Start here'!$C$13="",'Start here'!$C$14=""),"fill name/date on Start here","counts"),IF(G28="REJECTED","recorded as rejected","open"))</f>
        <v/>
      </c>
    </row>
    <row r="29" ht="28.35" customHeight="1" s="18">
      <c r="A29" s="26" t="inlineStr">
        <is>
          <t>AP-CUT-3</t>
        </is>
      </c>
      <c r="B29" s="27" t="inlineStr">
        <is>
          <t>CUT</t>
        </is>
      </c>
      <c r="C29" s="27" t="inlineStr">
        <is>
          <t>CUT-3</t>
        </is>
      </c>
      <c r="D29" s="27" t="inlineStr">
        <is>
          <t>Decision to make 'intake and reconcile outcomes' authoritative (CUT-3)</t>
        </is>
      </c>
      <c r="E29" s="27" t="inlineStr">
        <is>
          <t>after CUT-1 and CUT-2; needs a named consumer and a decision to stop the in-place legacy reconcile</t>
        </is>
      </c>
      <c r="F29" s="27" t="inlineStr">
        <is>
          <t>docs/14-transformation/cutover-plan.md; docs/30-release/release-approvals.md</t>
        </is>
      </c>
      <c r="G29" s="28" t="inlineStr">
        <is>
          <t>OPEN</t>
        </is>
      </c>
      <c r="H29" s="28" t="n"/>
      <c r="I29" s="28" t="n"/>
      <c r="J29" s="28" t="n"/>
      <c r="K29" s="29">
        <f>IF(G29="APPROVED",IF(OR('Start here'!$C$13="",'Start here'!$C$14=""),"fill name/date on Start here","counts"),IF(G29="REJECTED","recorded as rejected","open"))</f>
        <v/>
      </c>
    </row>
    <row r="30" ht="28.35" customHeight="1" s="18">
      <c r="A30" s="26" t="inlineStr">
        <is>
          <t>AP-CUT-4</t>
        </is>
      </c>
      <c r="B30" s="27" t="inlineStr">
        <is>
          <t>CUT</t>
        </is>
      </c>
      <c r="C30" s="27" t="inlineStr">
        <is>
          <t>CUT-4</t>
        </is>
      </c>
      <c r="D30" s="27" t="inlineStr">
        <is>
          <t>Decision to make 'metrics, month-end and night-shift figures' authoritative (CUT-4)</t>
        </is>
      </c>
      <c r="E30" s="27" t="inlineStr">
        <is>
          <t>after CUT-3; needs consumers named and the OD-S12-01/-02/-08 definitions</t>
        </is>
      </c>
      <c r="F30" s="27" t="inlineStr">
        <is>
          <t>docs/14-transformation/cutover-plan.md; docs/30-release/release-approvals.md</t>
        </is>
      </c>
      <c r="G30" s="28" t="inlineStr">
        <is>
          <t>OPEN</t>
        </is>
      </c>
      <c r="H30" s="28" t="n"/>
      <c r="I30" s="28" t="n"/>
      <c r="J30" s="28" t="n"/>
      <c r="K30" s="29">
        <f>IF(G30="APPROVED",IF(OR('Start here'!$C$13="",'Start here'!$C$14=""),"fill name/date on Start here","counts"),IF(G30="REJECTED","recorded as rejected","open"))</f>
        <v/>
      </c>
    </row>
    <row r="31" ht="28.35" customHeight="1" s="18">
      <c r="A31" s="26" t="inlineStr">
        <is>
          <t>AP-CUT-5</t>
        </is>
      </c>
      <c r="B31" s="27" t="inlineStr">
        <is>
          <t>CUT</t>
        </is>
      </c>
      <c r="C31" s="27" t="inlineStr">
        <is>
          <t>CUT-5</t>
        </is>
      </c>
      <c r="D31" s="27" t="inlineStr">
        <is>
          <t>Decision to make 'automation and exposure' authoritative (CUT-5)</t>
        </is>
      </c>
      <c r="E31" s="27" t="inlineStr">
        <is>
          <t>last; keep loopback-only and the scheduler off unless Dinesh decides otherwise (D-27-09, HAR-10)</t>
        </is>
      </c>
      <c r="F31" s="27" t="inlineStr">
        <is>
          <t>docs/14-transformation/cutover-plan.md; docs/30-release/release-approvals.md</t>
        </is>
      </c>
      <c r="G31" s="28" t="inlineStr">
        <is>
          <t>OPEN</t>
        </is>
      </c>
      <c r="H31" s="28" t="n"/>
      <c r="I31" s="28" t="n"/>
      <c r="J31" s="28" t="n"/>
      <c r="K31" s="29">
        <f>IF(G31="APPROVED",IF(OR('Start here'!$C$13="",'Start here'!$C$14=""),"fill name/date on Start here","counts"),IF(G31="REJECTED","recorded as rejected","open"))</f>
        <v/>
      </c>
    </row>
    <row r="32" ht="28.35" customHeight="1" s="18">
      <c r="A32" s="26" t="inlineStr">
        <is>
          <t>AP-OPS-01</t>
        </is>
      </c>
      <c r="B32" s="27" t="inlineStr">
        <is>
          <t>REL</t>
        </is>
      </c>
      <c r="C32" s="27" t="inlineStr">
        <is>
          <t>GO (shadow)</t>
        </is>
      </c>
      <c r="D32" s="27" t="inlineStr">
        <is>
          <t>target host and promotion path named and approved (environment-promotion-plan.md)</t>
        </is>
      </c>
      <c r="E32" s="27" t="inlineStr">
        <is>
          <t>there is no production host; name one or accept shadow-on-the-laptop as the only environment</t>
        </is>
      </c>
      <c r="F32" s="27" t="inlineStr">
        <is>
          <t>docs/30-release/release-approvals.md (AP-1); docs/30-release/environment-promotion-plan.md</t>
        </is>
      </c>
      <c r="G32" s="28" t="inlineStr">
        <is>
          <t>OPEN</t>
        </is>
      </c>
      <c r="H32" s="28" t="n"/>
      <c r="I32" s="28" t="n"/>
      <c r="J32" s="28" t="n"/>
      <c r="K32" s="29">
        <f>IF(G32="APPROVED",IF(OR('Start here'!$C$13="",'Start here'!$C$14=""),"fill name/date on Start here","counts"),IF(G32="REJECTED","recorded as rejected","open"))</f>
        <v/>
      </c>
    </row>
    <row r="33" ht="28.35" customHeight="1" s="18">
      <c r="A33" s="26" t="inlineStr">
        <is>
          <t>AP-OPS-02</t>
        </is>
      </c>
      <c r="B33" s="27" t="inlineStr">
        <is>
          <t>REL</t>
        </is>
      </c>
      <c r="C33" s="27" t="inlineStr">
        <is>
          <t>GO (shadow)</t>
        </is>
      </c>
      <c r="D33" s="27" t="inlineStr">
        <is>
          <t>rollback authority, rollback triggers and who may call them</t>
        </is>
      </c>
      <c r="E33" s="27" t="inlineStr">
        <is>
          <t>Dinesh is the only rung (F-29-07); record that explicitly</t>
        </is>
      </c>
      <c r="F33" s="27" t="inlineStr">
        <is>
          <t>docs/30-release/release-approvals.md (AP-1); docs/30-release/environment-promotion-plan.md</t>
        </is>
      </c>
      <c r="G33" s="28" t="inlineStr">
        <is>
          <t>OPEN</t>
        </is>
      </c>
      <c r="H33" s="28" t="n"/>
      <c r="I33" s="28" t="n"/>
      <c r="J33" s="28" t="n"/>
      <c r="K33" s="29">
        <f>IF(G33="APPROVED",IF(OR('Start here'!$C$13="",'Start here'!$C$14=""),"fill name/date on Start here","counts"),IF(G33="REJECTED","recorded as rejected","open"))</f>
        <v/>
      </c>
    </row>
    <row r="34" ht="28.35" customHeight="1" s="18">
      <c r="A34" s="26" t="inlineStr">
        <is>
          <t>AP-OPS-03</t>
        </is>
      </c>
      <c r="B34" s="27" t="inlineStr">
        <is>
          <t>REL</t>
        </is>
      </c>
      <c r="C34" s="27" t="inlineStr">
        <is>
          <t>GO (shadow)</t>
        </is>
      </c>
      <c r="D34" s="27" t="inlineStr">
        <is>
          <t>cutover window, change freeze and communications</t>
        </is>
      </c>
      <c r="E34" s="27" t="inlineStr">
        <is>
          <t>no window exists; choose one only when a real consumer exists</t>
        </is>
      </c>
      <c r="F34" s="27" t="inlineStr">
        <is>
          <t>docs/30-release/release-approvals.md (AP-1); docs/30-release/environment-promotion-plan.md</t>
        </is>
      </c>
      <c r="G34" s="28" t="inlineStr">
        <is>
          <t>OPEN</t>
        </is>
      </c>
      <c r="H34" s="28" t="n"/>
      <c r="I34" s="28" t="n"/>
      <c r="J34" s="28" t="n"/>
      <c r="K34" s="29">
        <f>IF(G34="APPROVED",IF(OR('Start here'!$C$13="",'Start here'!$C$14=""),"fill name/date on Start here","counts"),IF(G34="REJECTED","recorded as rejected","open"))</f>
        <v/>
      </c>
    </row>
    <row r="35" ht="28.35" customHeight="1" s="18">
      <c r="A35" s="26" t="inlineStr">
        <is>
          <t>AP-OPS-04</t>
        </is>
      </c>
      <c r="B35" s="27" t="inlineStr">
        <is>
          <t>REL</t>
        </is>
      </c>
      <c r="C35" s="27" t="inlineStr">
        <is>
          <t>GO (shadow)</t>
        </is>
      </c>
      <c r="D35" s="27" t="inlineStr">
        <is>
          <t>off-device copy of the baseline and the hub backups (HAR-09, F-29-02)</t>
        </is>
      </c>
      <c r="E35" s="27" t="inlineStr">
        <is>
          <t>approve an encrypted off-device copy (HAR-09) or accept the single-device risk in writing</t>
        </is>
      </c>
      <c r="F35" s="27" t="inlineStr">
        <is>
          <t>docs/30-release/release-approvals.md (AP-1); docs/30-release/environment-promotion-plan.md</t>
        </is>
      </c>
      <c r="G35" s="28" t="inlineStr">
        <is>
          <t>OPEN</t>
        </is>
      </c>
      <c r="H35" s="28" t="n"/>
      <c r="I35" s="28" t="n"/>
      <c r="J35" s="28" t="n"/>
      <c r="K35" s="29">
        <f>IF(G35="APPROVED",IF(OR('Start here'!$C$13="",'Start here'!$C$14=""),"fill name/date on Start here","counts"),IF(G35="REJECTED","recorded as rejected","open"))</f>
        <v/>
      </c>
    </row>
    <row r="36" ht="28.35" customHeight="1" s="18">
      <c r="A36" s="26" t="inlineStr">
        <is>
          <t>AP-OPS-05</t>
        </is>
      </c>
      <c r="B36" s="27" t="inlineStr">
        <is>
          <t>REL</t>
        </is>
      </c>
      <c r="C36" s="27" t="inlineStr">
        <is>
          <t>GO (shadow)</t>
        </is>
      </c>
      <c r="D36" s="27" t="inlineStr">
        <is>
          <t>monitoring owner and alert channel for the release window (D-31-08, F-29-03)</t>
        </is>
      </c>
      <c r="E36" s="27" t="inlineStr">
        <is>
          <t>manual evaluation (RB-00) until a second human exists (D-31-08)</t>
        </is>
      </c>
      <c r="F36" s="27" t="inlineStr">
        <is>
          <t>docs/30-release/release-approvals.md (AP-1); docs/30-release/environment-promotion-plan.md</t>
        </is>
      </c>
      <c r="G36" s="28" t="inlineStr">
        <is>
          <t>OPEN</t>
        </is>
      </c>
      <c r="H36" s="28" t="n"/>
      <c r="I36" s="28" t="n"/>
      <c r="J36" s="28" t="n"/>
      <c r="K36" s="29">
        <f>IF(G36="APPROVED",IF(OR('Start here'!$C$13="",'Start here'!$C$14=""),"fill name/date on Start here","counts"),IF(G36="REJECTED","recorded as rejected","open"))</f>
        <v/>
      </c>
    </row>
    <row r="37" ht="28.35" customHeight="1" s="18">
      <c r="A37" s="26" t="inlineStr">
        <is>
          <t>AP-OPS-06</t>
        </is>
      </c>
      <c r="B37" s="27" t="inlineStr">
        <is>
          <t>REL</t>
        </is>
      </c>
      <c r="C37" s="27" t="inlineStr">
        <is>
          <t>GO (shadow)</t>
        </is>
      </c>
      <c r="D37" s="27" t="inlineStr">
        <is>
          <t>manual walkthroughs TST-REV-03 / 04 / 08 signed or explicitly left open (D-27-08)</t>
        </is>
      </c>
      <c r="E37" s="27" t="inlineStr">
        <is>
          <t>leave open and say so, or perform and sign the three walkthroughs</t>
        </is>
      </c>
      <c r="F37" s="27" t="inlineStr">
        <is>
          <t>docs/30-release/release-approvals.md (AP-1); docs/30-release/environment-promotion-plan.md</t>
        </is>
      </c>
      <c r="G37" s="28" t="inlineStr">
        <is>
          <t>OPEN</t>
        </is>
      </c>
      <c r="H37" s="28" t="n"/>
      <c r="I37" s="28" t="n"/>
      <c r="J37" s="28" t="n"/>
      <c r="K37" s="29">
        <f>IF(G37="APPROVED",IF(OR('Start here'!$C$13="",'Start here'!$C$14=""),"fill name/date on Start here","counts"),IF(G37="REJECTED","recorded as rejected","open"))</f>
        <v/>
      </c>
    </row>
    <row r="38" ht="28.35" customHeight="1" s="18">
      <c r="A38" s="26" t="inlineStr">
        <is>
          <t>AP-OPS-07</t>
        </is>
      </c>
      <c r="B38" s="27" t="inlineStr">
        <is>
          <t>REL</t>
        </is>
      </c>
      <c r="C38" s="27" t="inlineStr">
        <is>
          <t>GO (shadow)</t>
        </is>
      </c>
      <c r="D38" s="27" t="inlineStr">
        <is>
          <t>runtime floor and Python 3.12+ evidence (D-27-02)</t>
        </is>
      </c>
      <c r="E38" s="27" t="inlineStr">
        <is>
          <t>keep the 3.10 floor as shipped; run 3.12 / 3.13 evidence in the orchestrator cloud before any exposure</t>
        </is>
      </c>
      <c r="F38" s="27" t="inlineStr">
        <is>
          <t>docs/30-release/release-approvals.md (AP-1); docs/30-release/environment-promotion-plan.md</t>
        </is>
      </c>
      <c r="G38" s="28" t="inlineStr">
        <is>
          <t>OPEN</t>
        </is>
      </c>
      <c r="H38" s="28" t="n"/>
      <c r="I38" s="28" t="n"/>
      <c r="J38" s="28" t="n"/>
      <c r="K38" s="29">
        <f>IF(G38="APPROVED",IF(OR('Start here'!$C$13="",'Start here'!$C$14=""),"fill name/date on Start here","counts"),IF(G38="REJECTED","recorded as rejected","open"))</f>
        <v/>
      </c>
    </row>
    <row r="39" ht="28.35" customHeight="1" s="18">
      <c r="A39" s="26" t="inlineStr">
        <is>
          <t>AP-OPS-08</t>
        </is>
      </c>
      <c r="B39" s="27" t="inlineStr">
        <is>
          <t>REL</t>
        </is>
      </c>
      <c r="C39" s="27" t="inlineStr">
        <is>
          <t>GO (shadow)</t>
        </is>
      </c>
      <c r="D39" s="27" t="inlineStr">
        <is>
          <t>install the hardening CI file under .github with pinned SHAs, or not (D-27-03, HAR-07)</t>
        </is>
      </c>
      <c r="E39" s="27" t="inlineStr">
        <is>
          <t>do not install CI now; decide with the SHA pins when a remote exists</t>
        </is>
      </c>
      <c r="F39" s="27" t="inlineStr">
        <is>
          <t>docs/30-release/release-approvals.md (AP-1); docs/30-release/environment-promotion-plan.md</t>
        </is>
      </c>
      <c r="G39" s="28" t="inlineStr">
        <is>
          <t>OPEN</t>
        </is>
      </c>
      <c r="H39" s="28" t="n"/>
      <c r="I39" s="28" t="n"/>
      <c r="J39" s="28" t="n"/>
      <c r="K39" s="29">
        <f>IF(G39="APPROVED",IF(OR('Start here'!$C$13="",'Start here'!$C$14=""),"fill name/date on Start here","counts"),IF(G39="REJECTED","recorded as rejected","open"))</f>
        <v/>
      </c>
    </row>
    <row r="40" ht="41.75" customHeight="1" s="18">
      <c r="A40" s="26" t="inlineStr">
        <is>
          <t>AP-OPS-09</t>
        </is>
      </c>
      <c r="B40" s="27" t="inlineStr">
        <is>
          <t>REL</t>
        </is>
      </c>
      <c r="C40" s="27" t="inlineStr">
        <is>
          <t>GO (shadow)</t>
        </is>
      </c>
      <c r="D40" s="27" t="inlineStr">
        <is>
          <t>legacy Dockerfile / compose hardening, or leave the legacy files as they are (D-27-06)</t>
        </is>
      </c>
      <c r="E40" s="27" t="inlineStr">
        <is>
          <t>leave the legacy files unchanged (frozen path); the hardened recipe is in deployment-strategy.md as a proposal</t>
        </is>
      </c>
      <c r="F40" s="27" t="inlineStr">
        <is>
          <t>docs/30-release/release-approvals.md (AP-1); docs/30-release/environment-promotion-plan.md</t>
        </is>
      </c>
      <c r="G40" s="28" t="inlineStr">
        <is>
          <t>OPEN</t>
        </is>
      </c>
      <c r="H40" s="28" t="n"/>
      <c r="I40" s="28" t="n"/>
      <c r="J40" s="28" t="n"/>
      <c r="K40" s="29">
        <f>IF(G40="APPROVED",IF(OR('Start here'!$C$13="",'Start here'!$C$14=""),"fill name/date on Start here","counts"),IF(G40="REJECTED","recorded as rejected","open"))</f>
        <v/>
      </c>
    </row>
    <row r="41" ht="28.35" customHeight="1" s="18">
      <c r="A41" s="26" t="inlineStr">
        <is>
          <t>AP-OPS-10</t>
        </is>
      </c>
      <c r="B41" s="27" t="inlineStr">
        <is>
          <t>REL</t>
        </is>
      </c>
      <c r="C41" s="27" t="inlineStr">
        <is>
          <t>GO (shadow)</t>
        </is>
      </c>
      <c r="D41" s="27" t="inlineStr">
        <is>
          <t>wire the Stage 28 / 31 mechanisms before release, or release without them (D-28-01, D-28-02, D-31-01, D-31-02)</t>
        </is>
      </c>
      <c r="E41" s="27" t="inlineStr">
        <is>
          <t>release without wiring (as built); wiring is a separate approved change</t>
        </is>
      </c>
      <c r="F41" s="27" t="inlineStr">
        <is>
          <t>docs/30-release/release-approvals.md (AP-1); docs/30-release/environment-promotion-plan.md</t>
        </is>
      </c>
      <c r="G41" s="28" t="inlineStr">
        <is>
          <t>OPEN</t>
        </is>
      </c>
      <c r="H41" s="28" t="n"/>
      <c r="I41" s="28" t="n"/>
      <c r="J41" s="28" t="n"/>
      <c r="K41" s="29">
        <f>IF(G41="APPROVED",IF(OR('Start here'!$C$13="",'Start here'!$C$14=""),"fill name/date on Start here","counts"),IF(G41="REJECTED","recorded as rejected","open"))</f>
        <v/>
      </c>
    </row>
    <row r="42" ht="28.35" customHeight="1" s="18">
      <c r="A42" s="26" t="inlineStr">
        <is>
          <t>AP-OPS-11</t>
        </is>
      </c>
      <c r="B42" s="27" t="inlineStr">
        <is>
          <t>REL</t>
        </is>
      </c>
      <c r="C42" s="27" t="inlineStr">
        <is>
          <t>GO (shadow)</t>
        </is>
      </c>
      <c r="D42" s="27" t="inlineStr">
        <is>
          <t>residual risks RS / RP / VA / RTR / F-xx accepted, rejected or carried (none is accepted by any stage)</t>
        </is>
      </c>
      <c r="E42" s="27" t="inlineStr">
        <is>
          <t>carry every risk as open; accept none by default</t>
        </is>
      </c>
      <c r="F42" s="27" t="inlineStr">
        <is>
          <t>docs/30-release/release-approvals.md (AP-1); docs/30-release/environment-promotion-plan.md</t>
        </is>
      </c>
      <c r="G42" s="28" t="inlineStr">
        <is>
          <t>OPEN</t>
        </is>
      </c>
      <c r="H42" s="28" t="n"/>
      <c r="I42" s="28" t="n"/>
      <c r="J42" s="28" t="n"/>
      <c r="K42" s="29">
        <f>IF(G42="APPROVED",IF(OR('Start here'!$C$13="",'Start here'!$C$14=""),"fill name/date on Start here","counts"),IF(G42="REJECTED","recorded as rejected","open"))</f>
        <v/>
      </c>
    </row>
    <row r="43" ht="28.35" customHeight="1" s="18">
      <c r="A43" s="26" t="inlineStr">
        <is>
          <t>AP-OPS-12</t>
        </is>
      </c>
      <c r="B43" s="27" t="inlineStr">
        <is>
          <t>CUT</t>
        </is>
      </c>
      <c r="C43" s="27" t="inlineStr">
        <is>
          <t>CUT-2/CUT-3/CUT-4</t>
        </is>
      </c>
      <c r="D43" s="27" t="inlineStr">
        <is>
          <t>consumers of the legacy outputs identified and a re-pointing owner named (U-14-01)</t>
        </is>
      </c>
      <c r="E43" s="27" t="inlineStr">
        <is>
          <t>name the consumers or keep CUT-2..CUT-4 closed</t>
        </is>
      </c>
      <c r="F43" s="27" t="inlineStr">
        <is>
          <t>docs/30-release/release-approvals.md (AP-1); docs/30-release/environment-promotion-plan.md</t>
        </is>
      </c>
      <c r="G43" s="28" t="inlineStr">
        <is>
          <t>OPEN</t>
        </is>
      </c>
      <c r="H43" s="28" t="n"/>
      <c r="I43" s="28" t="n"/>
      <c r="J43" s="28" t="n"/>
      <c r="K43" s="29">
        <f>IF(G43="APPROVED",IF(OR('Start here'!$C$13="",'Start here'!$C$14=""),"fill name/date on Start here","counts"),IF(G43="REJECTED","recorded as rejected","open"))</f>
        <v/>
      </c>
    </row>
    <row r="44" ht="28.35" customHeight="1" s="18">
      <c r="A44" s="26" t="inlineStr">
        <is>
          <t>AP-OPS-13</t>
        </is>
      </c>
      <c r="B44" s="27" t="inlineStr">
        <is>
          <t>CUT</t>
        </is>
      </c>
      <c r="C44" s="27" t="inlineStr">
        <is>
          <t>CUT-1</t>
        </is>
      </c>
      <c r="D44" s="27" t="inlineStr">
        <is>
          <t>real Zone H holders named, only if the Zone H gate is to be used (OD-S12-05 / 06, HAR-12)</t>
        </is>
      </c>
      <c r="E44" s="27" t="inlineStr">
        <is>
          <t>keep holders empty; the Zone H gate stays unused</t>
        </is>
      </c>
      <c r="F44" s="27" t="inlineStr">
        <is>
          <t>docs/30-release/release-approvals.md (AP-1); docs/30-release/environment-promotion-plan.md</t>
        </is>
      </c>
      <c r="G44" s="28" t="inlineStr">
        <is>
          <t>OPEN</t>
        </is>
      </c>
      <c r="H44" s="28" t="n"/>
      <c r="I44" s="28" t="n"/>
      <c r="J44" s="28" t="n"/>
      <c r="K44" s="29">
        <f>IF(G44="APPROVED",IF(OR('Start here'!$C$13="",'Start here'!$C$14=""),"fill name/date on Start here","counts"),IF(G44="REJECTED","recorded as rejected","open"))</f>
        <v/>
      </c>
    </row>
  </sheetData>
  <conditionalFormatting sqref="G5:G44">
    <cfRule type="cellIs" rank="0" priority="2" equalAverage="0" operator="equal" aboveAverage="0" dxfId="0" text="" percent="0" bottom="0">
      <formula>"APPROVED"</formula>
    </cfRule>
    <cfRule type="cellIs" rank="0" priority="3" equalAverage="0" operator="equal" aboveAverage="0" dxfId="1" text="" percent="0" bottom="0">
      <formula>"REJECTED"</formula>
    </cfRule>
  </conditionalFormatting>
  <dataValidations count="1">
    <dataValidation sqref="G5:G44" showDropDown="0" showInputMessage="0" showErrorMessage="0" allowBlank="0" type="list" errorStyle="stop" operator="between">
      <formula1>"OPEN,APPROVED,REJECTED"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3315C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40" customWidth="1" style="17" min="2" max="3"/>
    <col width="46" customWidth="1" style="17" min="4" max="4"/>
    <col width="58" customWidth="1" style="17" min="5" max="5"/>
    <col width="40" customWidth="1" style="17" min="6" max="6"/>
  </cols>
  <sheetData>
    <row r="1" ht="15" customHeight="1" s="18">
      <c r="A1" s="24" t="inlineStr">
        <is>
          <t>DV-01..DV-11: what changes between the legacy system and the hub (source: hub/coexistence/seed_s20.json). Your decisions are on 'Sign-offs (40)', rows AP-DV-*.</t>
        </is>
      </c>
    </row>
    <row r="2"/>
    <row r="3"/>
    <row r="4" ht="31.5" customHeight="1" s="18">
      <c r="A4" s="25" t="inlineStr">
        <is>
          <t>DV</t>
        </is>
      </c>
      <c r="B4" s="25" t="inlineStr">
        <is>
          <t>Golden reference</t>
        </is>
      </c>
      <c r="C4" s="25" t="inlineStr">
        <is>
          <t>Legacy value</t>
        </is>
      </c>
      <c r="D4" s="25" t="inlineStr">
        <is>
          <t>Hub value</t>
        </is>
      </c>
      <c r="E4" s="25" t="inlineStr">
        <is>
          <t>Justification in the register</t>
        </is>
      </c>
      <c r="F4" s="25" t="inlineStr">
        <is>
          <t>Repo's recommended default</t>
        </is>
      </c>
    </row>
    <row r="5" ht="90" customHeight="1" s="18">
      <c r="A5" s="26" t="inlineStr">
        <is>
          <t>DV-01</t>
        </is>
      </c>
      <c r="B5" s="27" t="inlineStr">
        <is>
          <t>CT-12:batch.sql_report_1_total_gross</t>
        </is>
      </c>
      <c r="C5" s="27" t="inlineStr">
        <is>
          <t>742956.61</t>
        </is>
      </c>
      <c r="D5" s="27" t="inlineStr">
        <is>
          <t>622826.44</t>
        </is>
      </c>
      <c r="E5" s="27" t="inlineStr">
        <is>
          <t>SQL report 1 total inflated by LEFT JOIN events fan-out (BB-08); new month_end_total sums cases once. F10-2 DV-01 (fix).</t>
        </is>
      </c>
      <c r="F5" s="27" t="inlineStr">
        <is>
          <t>fix (adopt the hub figure) for CUT-4; keep legacy report running as comparator</t>
        </is>
      </c>
    </row>
    <row r="6" ht="90" customHeight="1" s="18">
      <c r="A6" s="26" t="inlineStr">
        <is>
          <t>DV-02</t>
        </is>
      </c>
      <c r="B6" s="27" t="inlineStr">
        <is>
          <t>CT-08:batch.partner_error_reasons[replayed source message]</t>
        </is>
      </c>
      <c r="C6" s="27" t="inlineStr">
        <is>
          <t>64</t>
        </is>
      </c>
      <c r="D6" s="27" t="inlineStr">
        <is>
          <t>{"NOOP_DUPLICATE":67,"REVISED_CONFLICT":0}</t>
        </is>
      </c>
      <c r="E6" s="27" t="inlineStr">
        <is>
          <t>Legacy marks every REPLAY as DUPLICATE (BB-05); new distinguishes identical vs changed content. F10-2 DV-02 (fix). New value restated in Stage 20 as the OBSERVED output of the built module on FX-BASE125 (DW-04, golden-compare provider 'observed'); the behaviour described is unchanged. Observed on the shipped feed: 67 REPLAY rows -&gt; NOOP_DUPLICATE, 0 REVISED_CONFLICT (no changed-content replay exists in FX-BASE125; the changed-content path is covered by TST-INT-01..08). Legacy 64 vs 67: 3 REPLAY rows fail legacy key/schema checks first (BD-02).</t>
        </is>
      </c>
      <c r="F6" s="27" t="inlineStr">
        <is>
          <t>fix</t>
        </is>
      </c>
    </row>
    <row r="7" ht="90" customHeight="1" s="18">
      <c r="A7" s="26" t="inlineStr">
        <is>
          <t>DV-03</t>
        </is>
      </c>
      <c r="B7" s="27" t="inlineStr">
        <is>
          <t>CT-08:batch.partner_error_reasons[quantity out of range]</t>
        </is>
      </c>
      <c r="C7" s="27" t="inlineStr">
        <is>
          <t>154</t>
        </is>
      </c>
      <c r="D7" s="27" t="inlineStr">
        <is>
          <t>{"NEGATIVE_VALUE_items":161,"flagged_value_queue":3}</t>
        </is>
      </c>
      <c r="E7" s="27" t="inlineStr">
        <is>
          <t>Legacy rejects negative quantity; new keeps it flagged for review. F10-2 DV-03 (change of class). New value restated in Stage 20 as the OBSERVED output of the built module on FX-BASE125 (DW-04, golden-compare provider 'observed'); the behaviour described is unchanged. 161 partner items carry NEGATIVE_VALUE and are kept (3 in queue flagged_value; the rest carry a higher-precedence reason), none rejected (BD-03).</t>
        </is>
      </c>
      <c r="F7" s="27" t="inlineStr">
        <is>
          <t>change of class: adopt as built</t>
        </is>
      </c>
    </row>
    <row r="8" ht="90" customHeight="1" s="18">
      <c r="A8" s="26" t="inlineStr">
        <is>
          <t>DV-04</t>
        </is>
      </c>
      <c r="B8" s="27" t="inlineStr">
        <is>
          <t>CT-11:batch.java_tiny.stdout#count</t>
        </is>
      </c>
      <c r="C8" s="27" t="inlineStr">
        <is>
          <t>"2390"</t>
        </is>
      </c>
      <c r="D8" s="27" t="inlineStr">
        <is>
          <t>{"UNPARSABLE_AMOUNT":10,"kept_rows":2390}</t>
        </is>
      </c>
      <c r="E8" s="27" t="inlineStr">
        <is>
          <t>Legacy Java silently skips blank amounts; new reports UNPARSABLE_AMOUNT (quarantine). F10-2 DV-04 (fix). New value restated in Stage 20 as the OBSERVED output of the built module on FX-BASE125 (DW-04, golden-compare provider 'observed'); the behaviour described is unchanged. Vendor tiny CSV: 10 rows QUARANTINED UNPARSABLE_AMOUNT, 2,390 rows kept (BD-04).</t>
        </is>
      </c>
      <c r="F8" s="27" t="inlineStr">
        <is>
          <t>fix</t>
        </is>
      </c>
    </row>
    <row r="9" ht="90" customHeight="1" s="18">
      <c r="A9" s="26" t="inlineStr">
        <is>
          <t>DV-05</t>
        </is>
      </c>
      <c r="B9" s="27" t="inlineStr">
        <is>
          <t>CT-13:batch.js_policy_table.allows[7:9]</t>
        </is>
      </c>
      <c r="C9" s="27" t="inlineStr">
        <is>
          <t>[["abc","APAC",2026,false],[null,"APAC",2026,true]]</t>
        </is>
      </c>
      <c r="D9" s="27" t="inlineStr">
        <is>
          <t>{"abc":"E-POL-INPUT-INVALID","null":"E-POL-INPUT-INVALID"}</t>
        </is>
      </c>
      <c r="E9" s="27" t="inlineStr">
        <is>
          <t>Legacy JS tolerance with 'abc'/null is undefined behaviour; new rejects invalid input. F10-2 DV-05 (fix).</t>
        </is>
      </c>
      <c r="F9" s="27" t="inlineStr">
        <is>
          <t>fix</t>
        </is>
      </c>
    </row>
    <row r="10" ht="90" customHeight="1" s="18">
      <c r="A10" s="26" t="inlineStr">
        <is>
          <t>DV-06</t>
        </is>
      </c>
      <c r="B10" s="27" t="inlineStr">
        <is>
          <t>CT-13:batch.js_policy_table.table[0]</t>
        </is>
      </c>
      <c r="C10" s="27" t="inlineStr">
        <is>
          <t>["APAC",2019,999999]</t>
        </is>
      </c>
      <c r="D10" s="27" t="inlineStr">
        <is>
          <t>{"defaulted":true,"region":"APAC","threshold":999999,"year":2019}</t>
        </is>
      </c>
      <c r="E10" s="27" t="inlineStr">
        <is>
          <t>Unknown region/year default 999999 kept but marked defaulted. F10-2 DV-06 (additive).</t>
        </is>
      </c>
      <c r="F10" s="27" t="inlineStr">
        <is>
          <t>accept the additive marker</t>
        </is>
      </c>
    </row>
    <row r="11" ht="90" customHeight="1" s="18">
      <c r="A11" s="26" t="inlineStr">
        <is>
          <t>DV-07</t>
        </is>
      </c>
      <c r="B11" s="27" t="inlineStr">
        <is>
          <t>CT-08:batch.partner_status_after_all</t>
        </is>
      </c>
      <c r="C11" s="27" t="inlineStr">
        <is>
          <t>[["ACCEPTED",7917],["DUPLICATE",64],["REJECTED",586]]</t>
        </is>
      </c>
      <c r="D11" s="27" t="inlineStr">
        <is>
          <t>{"legacy_table":"untouched","outcome_store":"append-only","outcomes":{"EXCEPTION":8109,"NOOP_DUPLICATE":67,"QUARANTINED":223,"VALIDATED":165,"VALIDATED_WITH_FLAGS":3}}</t>
        </is>
      </c>
      <c r="E11" s="27" t="inlineStr">
        <is>
          <t>Legacy reconcile overwrites processing_status in place; new appends outcomes and leaves the legacy table untouched. F10-2 DV-07 (fix). New value restated in Stage 20 as the OBSERVED output of the built module on FX-BASE125 (DW-04, golden-compare provider 'observed'); the behaviour described is unchanged. DV-07a (Stage 17 PCH-35 text extension): the new value also includes the outcome classification: EXCEPTION 8,109 (UNMATCHED_REF 7,903, NO_BUSINESS_KEY 206 - see DV-10), QUARANTINED 223, VALIDATED 165, VALIDATED_WITH_FLAGS 3, NOOP_DUPLICATE 67 (BD-07).</t>
        </is>
      </c>
      <c r="F11" s="27" t="inlineStr">
        <is>
          <t>fix, after Dinesh has seen the 7,903 UNMATCHED_REF volume</t>
        </is>
      </c>
    </row>
    <row r="12" ht="90" customHeight="1" s="18">
      <c r="A12" s="26" t="inlineStr">
        <is>
          <t>DV-08</t>
        </is>
      </c>
      <c r="B12" s="27" t="inlineStr">
        <is>
          <t>CT-10:batch.shift_distinct_objects_in_first_500_joined_rows</t>
        </is>
      </c>
      <c r="C12" s="27" t="inlineStr">
        <is>
          <t>118</t>
        </is>
      </c>
      <c r="D12" s="27" t="inlineStr">
        <is>
          <t>500</t>
        </is>
      </c>
      <c r="E12" s="27" t="inlineStr">
        <is>
          <t>Night-shift join multiplies rows (118 distinct objects in first 500); new evaluates per entity (500 distinct in first 500). F10-2 DV-08 (fix).</t>
        </is>
      </c>
      <c r="F12" s="27" t="inlineStr">
        <is>
          <t>do not cut over this figure; keep legacy authoritative until a hub job exists</t>
        </is>
      </c>
    </row>
    <row r="13" ht="90" customHeight="1" s="18">
      <c r="A13" s="26" t="inlineStr">
        <is>
          <t>DV-09</t>
        </is>
      </c>
      <c r="B13" s="27" t="inlineStr">
        <is>
          <t>CT-07:lib.missing_field</t>
        </is>
      </c>
      <c r="C13" s="27" t="inlineStr">
        <is>
          <t>{"accepted":0,"duplicates":0,"invalid":1,"received":1}</t>
        </is>
      </c>
      <c r="D13" s="27" t="inlineStr">
        <is>
          <t>{"quarantined":1,"reason":"MISSING_ENVELOPE_FIELD","received":1}</t>
        </is>
      </c>
      <c r="E13" s="27" t="inlineStr">
        <is>
          <t>Legacy counts invalid gateway events but does not store them; new stores them in quarantine. F10-2 DV-09 (fix). Stage 20 label correction (Stage 17 PCH-35, OD-24): the built intake uses the Stage 12 code MISSING_ENVELOPE_FIELD, not 'envelope_invalid' (BD-09). New value restated in Stage 20 as the OBSERVED output of the built module on FX-BASE125 (DW-04, golden-compare provider 'observed'); the behaviour described is unchanged.</t>
        </is>
      </c>
      <c r="F13" s="27" t="inlineStr">
        <is>
          <t>fix, with the corrected label</t>
        </is>
      </c>
    </row>
    <row r="14" ht="90" customHeight="1" s="18">
      <c r="A14" s="26" t="inlineStr">
        <is>
          <t>DV-10</t>
        </is>
      </c>
      <c r="B14" s="27" t="inlineStr">
        <is>
          <t>CT-08:batch.partner_status_after_all[ref_id match]</t>
        </is>
      </c>
      <c r="C14" s="27" t="inlineStr">
        <is>
          <t>[["ACCEPTED",7917],["DUPLICATE",64],["REJECTED",586]]</t>
        </is>
      </c>
      <c r="D14" s="27" t="inlineStr">
        <is>
          <t>{"linked":168,"no_business_key":206,"unmatched_ref":7903}</t>
        </is>
      </c>
      <c r="E14" s="27" t="inlineStr">
        <is>
          <t>Legacy reconcile never checks ref_id, so most partner rows end ACCEPTED; the hub links ref_id to the 125 baseline cases by exact key (BEH-INT-08, AC-INT-18): 168 linked, 7,903 EXCEPTION/UNMATCHED_REF, 206 EXCEPTION/NO_BUSINESS_KEY. Specified behaviour (PRD baseline OD-22) registered by Stage 17 PCH-35 / OD-24 as proposed DV-10 (BD-07). Registration only, not approval. New value restated in Stage 20 as the OBSERVED output of the built module on FX-BASE125 (DW-04, golden-compare provider 'observed'); the behaviour described is unchanged.</t>
        </is>
      </c>
      <c r="F14" s="27" t="inlineStr">
        <is>
          <t>fix (exact match, BEH-INT-08)</t>
        </is>
      </c>
    </row>
    <row r="15" ht="90" customHeight="1" s="18">
      <c r="A15" s="26" t="inlineStr">
        <is>
          <t>DV-11</t>
        </is>
      </c>
      <c r="B15" s="27" t="inlineStr">
        <is>
          <t>DEV-29:js.threshold(APAC, partial year)</t>
        </is>
      </c>
      <c r="C15" s="27" t="inlineStr">
        <is>
          <t>{"":15000,"2":15000,"202":15000}</t>
        </is>
      </c>
      <c r="D15" s="27" t="inlineStr">
        <is>
          <t>{"":{"defaulted":true,"threshold":999999},"2":{"defaulted":true,"threshold":999999},"202":{"defaulted":true,"threshold":999999}}</t>
        </is>
      </c>
      <c r="E15" s="27" t="inlineStr">
        <is>
          <t>Legacy JS threshold lookup matches partial years by startsWith (threshold('APAC', 202 / 2 / '') -&gt; 15000, the 2022 row); the rule service requires the 4-digit year and returns 999999 with defaulted = true (DEV-29, RTD-41). No Stage 7 golden captures it: the legacy value is the documented INC-04 S05 live node run (docs/15-modernization/transformation-log.md DEV-29). Registered by Stage 17 PCH-35 / OD-24 as proposed DV-11 (BD-10). Registration only, not approval. New value restated in Stage 20 as the OBSERVED output of the built module on FX-BASE125 (DW-04, golden-compare provider 'observed'); the behaviour described is unchanged.</t>
        </is>
      </c>
      <c r="F15" s="27" t="inlineStr">
        <is>
          <t>fix (4-digit year required)</t>
        </is>
      </c>
    </row>
    <row r="16"/>
    <row r="17" ht="60" customHeight="1" s="18">
      <c r="A17" s="30" t="inlineStr">
        <is>
          <t>Note for DV-08</t>
        </is>
      </c>
      <c r="B17" s="22" t="inlineStr">
        <is>
          <t>The repo's recommended default for AP-DV-08 is 'do not cut over this figure; keep legacy authoritative'. The golden comparison still reports the difference as UNAPPROVED until the DV-08 row is approved, so G1 cannot pass while it is OPEN. Approving it for G1 acknowledges a known difference in SHADOW mode only; the cutover decision stays with AP-CUT-4. Please decide which you want.</t>
        </is>
      </c>
    </row>
  </sheetData>
  <mergeCells count="1">
    <mergeCell ref="B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3315C"/>
    <outlinePr summaryBelow="1" summaryRight="1"/>
    <pageSetUpPr fitToPage="0"/>
  </sheetPr>
  <dimension ref="A1:H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7" min="1" max="1"/>
    <col width="42" customWidth="1" style="17" min="2" max="2"/>
    <col width="40" customWidth="1" style="17" min="3" max="3"/>
    <col width="44" customWidth="1" style="17" min="4" max="6"/>
    <col width="16" customWidth="1" style="17" min="7" max="7"/>
    <col width="40" customWidth="1" style="17" min="8" max="8"/>
  </cols>
  <sheetData>
    <row r="1" ht="15" customHeight="1" s="18">
      <c r="A1" s="24" t="inlineStr">
        <is>
          <t>T-10: every High vulnerability and every open High finding needs a decision recorded by the Engagement lead (go-no-go-criteria.md).</t>
        </is>
      </c>
    </row>
    <row r="2"/>
    <row r="3"/>
    <row r="4" ht="31.5" customHeight="1" s="18">
      <c r="A4" s="25" t="inlineStr">
        <is>
          <t>Item</t>
        </is>
      </c>
      <c r="B4" s="25" t="inlineStr">
        <is>
          <t>What it is</t>
        </is>
      </c>
      <c r="C4" s="25" t="inlineStr">
        <is>
          <t>State today</t>
        </is>
      </c>
      <c r="D4" s="25" t="inlineStr">
        <is>
          <t>Option 1</t>
        </is>
      </c>
      <c r="E4" s="25" t="inlineStr">
        <is>
          <t>Option 2</t>
        </is>
      </c>
      <c r="F4" s="25" t="inlineStr">
        <is>
          <t>Claude's suggestion (not a decision)</t>
        </is>
      </c>
      <c r="G4" s="25" t="inlineStr">
        <is>
          <t>YOUR CHOICE (1 / 2 / OTHER)</t>
        </is>
      </c>
      <c r="H4" s="25" t="inlineStr">
        <is>
          <t>Reason / OTHER text</t>
        </is>
      </c>
    </row>
    <row r="5" ht="105" customHeight="1" s="18">
      <c r="A5" s="26" t="inlineStr">
        <is>
          <t>VR-02</t>
        </is>
      </c>
      <c r="B5" s="27" t="inlineStr">
        <is>
          <t>Python 3.10 is end of life (floor shipped at 3.10)</t>
        </is>
      </c>
      <c r="C5" s="27" t="inlineStr">
        <is>
          <t>MITIGATED + ESCALATED (D-27-02). 3.12 floor is selectable; CI file for 3.12/3.13 written but not installed.</t>
        </is>
      </c>
      <c r="D5" s="27" t="inlineStr">
        <is>
          <t>Accept: stay on the 3.10 floor for shadow on this laptop; no exposure, no real data.</t>
        </is>
      </c>
      <c r="E5" s="27" t="inlineStr">
        <is>
          <t>Adopt a 3.12 floor before release. Evidence from this session: the full regression passes on 3.14 (see Technical sheet) but 3.12 itself was not run.</t>
        </is>
      </c>
      <c r="F5" s="27" t="inlineStr">
        <is>
          <t>Option 1 for a shadow release on synthetic data, with 'before any exposure or real data: move to 3.12+' written into the decision.</t>
        </is>
      </c>
      <c r="G5" s="28" t="n"/>
      <c r="H5" s="28" t="n"/>
    </row>
    <row r="6" ht="105" customHeight="1" s="18">
      <c r="A6" s="26" t="inlineStr">
        <is>
          <t>VR-03</t>
        </is>
      </c>
      <c r="B6" s="27" t="inlineStr">
        <is>
          <t>No TLS (hub binds loopback only)</t>
        </is>
      </c>
      <c r="C6" s="27" t="inlineStr">
        <is>
          <t>MITIGATED by avoidance: non-loopback bind refused by two independent checks.</t>
        </is>
      </c>
      <c r="D6" s="27" t="inlineStr">
        <is>
          <t>Accept: loopback-only; any exposure is a new decision.</t>
        </is>
      </c>
      <c r="E6" s="27" t="inlineStr">
        <is>
          <t>Require TLS before release.</t>
        </is>
      </c>
      <c r="F6" s="27" t="inlineStr">
        <is>
          <t>Option 1. The risk exists only if the hub is exposed, which the release scope excludes.</t>
        </is>
      </c>
      <c r="G6" s="28" t="n"/>
      <c r="H6" s="28" t="n"/>
    </row>
    <row r="7" ht="105" customHeight="1" s="18">
      <c r="A7" s="26" t="inlineStr">
        <is>
          <t>VR-04</t>
        </is>
      </c>
      <c r="B7" s="27" t="inlineStr">
        <is>
          <t>Legacy Dockerfile / compose run as root and bind all interfaces if started as shipped</t>
        </is>
      </c>
      <c r="C7" s="27" t="inlineStr">
        <is>
          <t>DEFERRED to Stage 30 (D-27-06). Frozen legacy path.</t>
        </is>
      </c>
      <c r="D7" s="27" t="inlineStr">
        <is>
          <t>Accept: leave the legacy files unchanged; hardened recipe stays a proposal (deployment-strategy DS-5); do not start the legacy containers.</t>
        </is>
      </c>
      <c r="E7" s="27" t="inlineStr">
        <is>
          <t>Harden the legacy files now (changes a frozen legacy path).</t>
        </is>
      </c>
      <c r="F7" s="27" t="inlineStr">
        <is>
          <t>Option 1.</t>
        </is>
      </c>
      <c r="G7" s="28" t="n"/>
      <c r="H7" s="28" t="n"/>
    </row>
    <row r="8" ht="105" customHeight="1" s="18">
      <c r="A8" s="26" t="inlineStr">
        <is>
          <t>F-11</t>
        </is>
      </c>
      <c r="B8" s="27" t="inlineStr">
        <is>
          <t>Red-team finding S26-F-11: group wall times 145-174 s against the 180 s per-call cap</t>
        </is>
      </c>
      <c r="C8" s="27" t="inlineStr">
        <is>
          <t>Open; listed as LOW in red-team-findings.md although the criterion text mentions it. Please confirm it belongs in T-10.</t>
        </is>
      </c>
      <c r="D8" s="27" t="inlineStr">
        <is>
          <t>Accept / backlog: the cloud regression has no cap (this session ran every group without it).</t>
        </is>
      </c>
      <c r="E8" s="27" t="inlineStr">
        <is>
          <t>Split the two slow groups (E26, S26).</t>
        </is>
      </c>
      <c r="F8" s="27" t="inlineStr">
        <is>
          <t>Option 1; note it is Low severity in the findings table.</t>
        </is>
      </c>
      <c r="G8" s="28" t="n"/>
      <c r="H8" s="28" t="n"/>
    </row>
  </sheetData>
  <dataValidations count="1">
    <dataValidation sqref="G5:G8" showDropDown="0" showInputMessage="0" showErrorMessage="0" allowBlank="1" type="list" errorStyle="stop" operator="between">
      <formula1>"1,2,OTHER"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3315C"/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17" min="1" max="1"/>
    <col width="56" customWidth="1" style="17" min="2" max="2"/>
    <col width="50" customWidth="1" style="17" min="3" max="3"/>
    <col width="22" customWidth="1" style="17" min="4" max="4"/>
    <col width="44" customWidth="1" style="17" min="5" max="5"/>
    <col width="16" customWidth="1" style="17" min="6" max="6"/>
    <col width="40" customWidth="1" style="17" min="7" max="7"/>
  </cols>
  <sheetData>
    <row r="1" ht="15" customHeight="1" s="18">
      <c r="A1" s="24" t="inlineStr">
        <is>
          <t>T-09: monitoring coverage for the release window (persisted metrics, alert delivery, an owner)</t>
        </is>
      </c>
    </row>
    <row r="2"/>
    <row r="3"/>
    <row r="4" ht="31.5" customHeight="1" s="18">
      <c r="A4" s="25" t="inlineStr">
        <is>
          <t>Option</t>
        </is>
      </c>
      <c r="B4" s="25" t="inlineStr">
        <is>
          <t>What it means</t>
        </is>
      </c>
      <c r="C4" s="25" t="inlineStr">
        <is>
          <t>What changes in the repo</t>
        </is>
      </c>
      <c r="D4" s="25" t="inlineStr">
        <is>
          <t>Effort</t>
        </is>
      </c>
      <c r="E4" s="25" t="inlineStr">
        <is>
          <t>Claude's suggestion (not a decision)</t>
        </is>
      </c>
      <c r="F4" s="25" t="inlineStr">
        <is>
          <t>YOUR CHOICE (A / B)</t>
        </is>
      </c>
      <c r="G4" s="25" t="inlineStr">
        <is>
          <t>Reason</t>
        </is>
      </c>
    </row>
    <row r="5" ht="84.75" customHeight="1" s="18">
      <c r="A5" s="26" t="inlineStr">
        <is>
          <t>A</t>
        </is>
      </c>
      <c r="B5" s="27" t="inlineStr">
        <is>
          <t>Accept manual monitoring for the release window: you run RB-00 at the start and end of each working session; no alert delivery; you are the owner (AP-OPS-05, D-31-08).</t>
        </is>
      </c>
      <c r="C5" s="27" t="inlineStr">
        <is>
          <t>Nothing in code. A dated acceptance is recorded (draft supplied). The criterion text allows this: 'or by Dinesh explicitly accepting manual monitoring'.</t>
        </is>
      </c>
      <c r="D5" s="27" t="inlineStr">
        <is>
          <t>~10 min of your time</t>
        </is>
      </c>
      <c r="E5" s="27" t="inlineStr">
        <is>
          <t>A for a single-person shadow release.</t>
        </is>
      </c>
      <c r="F5" s="28" t="n"/>
      <c r="G5" s="28" t="n"/>
    </row>
    <row r="6" ht="84.75" customHeight="1" s="18">
      <c r="A6" s="26" t="inlineStr">
        <is>
          <t>B</t>
        </is>
      </c>
      <c r="B6" s="27" t="inlineStr">
        <is>
          <t>Wire periodic persistence of HTTP metrics (D-31-01) and the six gap metrics (D-31-06) so alerts can be evaluated from stored data.</t>
        </is>
      </c>
      <c r="C6" s="27" t="inlineStr">
        <is>
          <t>Edit hub/web/app.py and hub/obs wiring; new tests; AP-OPS-10 becomes 'wire before release'. Alert delivery and on-call would still not exist.</t>
        </is>
      </c>
      <c r="D6" s="27" t="inlineStr">
        <is>
          <t>~1 h Claude + review</t>
        </is>
      </c>
      <c r="E6" s="27" t="inlineStr">
        <is>
          <t>Not needed for shadow; consider before any real use.</t>
        </is>
      </c>
      <c r="F6" s="28" t="n"/>
      <c r="G6" s="28" t="n"/>
    </row>
    <row r="7"/>
    <row r="8" ht="15" customHeight="1" s="18">
      <c r="A8" s="27" t="inlineStr">
        <is>
          <t>Note</t>
        </is>
      </c>
      <c r="B8" s="31" t="inlineStr">
        <is>
          <t>If you choose A, also set AP-OPS-05 and AP-OPS-10 on the Sign-offs sheet consistently (AP-OPS-05 = manual evaluation; AP-OPS-10 = release without wiring).</t>
        </is>
      </c>
      <c r="C8" s="32" t="n"/>
      <c r="D8" s="32" t="n"/>
      <c r="E8" s="32" t="n"/>
      <c r="F8" s="32" t="n"/>
      <c r="G8" s="32" t="n"/>
    </row>
  </sheetData>
  <mergeCells count="1">
    <mergeCell ref="B8:G8"/>
  </mergeCells>
  <dataValidations count="1">
    <dataValidation sqref="F5:F6" showDropDown="0" showInputMessage="0" showErrorMessage="0" allowBlank="1" type="list" errorStyle="stop" operator="between">
      <formula1>"A,B"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B998B"/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52" customWidth="1" style="17" min="2" max="2"/>
    <col width="36" customWidth="1" style="17" min="3" max="3"/>
    <col width="46" customWidth="1" style="17" min="4" max="4"/>
    <col width="18" customWidth="1" style="17" min="5" max="5"/>
    <col width="30" customWidth="1" style="17" min="6" max="6"/>
  </cols>
  <sheetData>
    <row r="1" ht="17.35" customHeight="1" s="18">
      <c r="A1" s="33" t="inlineStr">
        <is>
          <t>Three levels of GO</t>
        </is>
      </c>
    </row>
    <row r="2"/>
    <row r="3" ht="31.5" customHeight="1" s="18">
      <c r="A3" s="25" t="inlineStr">
        <is>
          <t>Level</t>
        </is>
      </c>
      <c r="B3" s="25" t="inlineStr">
        <is>
          <t>Meaning</t>
        </is>
      </c>
      <c r="C3" s="25" t="inlineStr">
        <is>
          <t>Technical criteria</t>
        </is>
      </c>
      <c r="D3" s="25" t="inlineStr">
        <is>
          <t>Approvals needed</t>
        </is>
      </c>
      <c r="E3" s="25" t="inlineStr">
        <is>
          <t>Your time</t>
        </is>
      </c>
      <c r="F3" s="25" t="inlineStr">
        <is>
          <t>Status</t>
        </is>
      </c>
    </row>
    <row r="4" ht="69.75" customHeight="1" s="18">
      <c r="A4" s="26" t="inlineStr">
        <is>
          <t>GO (shadow) — 'Partial Go'</t>
        </is>
      </c>
      <c r="B4" s="27" t="inlineStr">
        <is>
          <t>Hub runs beside legacy on synthetic data. No production cutover.</t>
        </is>
      </c>
      <c r="C4" s="27" t="inlineStr">
        <is>
          <t>G1, T-05, T-09, T-10 must flip to pass (16 already pass)</t>
        </is>
      </c>
      <c r="D4" s="27" t="inlineStr">
        <is>
          <t>22 REL approvals (AP-REL-01, AP-GATE-G1..G10, AP-OPS-01..11) + 11 deviation decisions for G1</t>
        </is>
      </c>
      <c r="E4" s="27" t="inlineStr">
        <is>
          <t>~60-75 min</t>
        </is>
      </c>
      <c r="F4" s="27" t="inlineStr">
        <is>
          <t>see Start here counts</t>
        </is>
      </c>
    </row>
    <row r="5" ht="69.75" customHeight="1" s="18">
      <c r="A5" s="26" t="inlineStr">
        <is>
          <t>Limited GO — rule evaluation only (CUT-2)</t>
        </is>
      </c>
      <c r="B5" s="27" t="inlineStr">
        <is>
          <t>Hub rule evaluation becomes authoritative for the three policy differences.</t>
        </is>
      </c>
      <c r="C5" s="27" t="inlineStr">
        <is>
          <t>As above</t>
        </is>
      </c>
      <c r="D5" s="27" t="inlineStr">
        <is>
          <t>GO (shadow) set + AP-CUT-2, AP-DV-05, AP-DV-06, AP-DV-11, AP-OPS-12 (named consumers)</t>
        </is>
      </c>
      <c r="E5" s="27" t="inlineStr">
        <is>
          <t>+ 30 min plus a named consumer</t>
        </is>
      </c>
      <c r="F5" s="27" t="inlineStr">
        <is>
          <t>not started</t>
        </is>
      </c>
    </row>
    <row r="6" ht="69.75" customHeight="1" s="18">
      <c r="A6" s="26" t="inlineStr">
        <is>
          <t>Full GO</t>
        </is>
      </c>
      <c r="B6" s="27" t="inlineStr">
        <is>
          <t>All five capabilities authoritative.</t>
        </is>
      </c>
      <c r="C6" s="27" t="inlineStr">
        <is>
          <t>As above</t>
        </is>
      </c>
      <c r="D6" s="27" t="inlineStr">
        <is>
          <t>All 40 approvals + open decisions OD-S12-xx, definitions OPD-01/02/08, Zone H holders</t>
        </is>
      </c>
      <c r="E6" s="27" t="inlineStr">
        <is>
          <t>days; needs real org inputs</t>
        </is>
      </c>
      <c r="F6" s="27" t="inlineStr">
        <is>
          <t>out of scope today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2026-10-25T18:27:07Z</dcterms:created>
  <dcterms:modified xmlns:dcterms="http://purl.org/dc/terms/" xmlns:xsi="http://www.w3.org/2001/XMLSchema-instance" xsi:type="dcterms:W3CDTF">2026-10-26T03:13:42Z</dcterms:modified>
  <cp:revision>0</cp:revision>
</cp:coreProperties>
</file>